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meuprospera.sharepoint.com/sites/DiretoriadeGovernana/Documentos Compartilhados/10@ - Consultoria  Empresarial/"/>
    </mc:Choice>
  </mc:AlternateContent>
  <xr:revisionPtr revIDLastSave="0" documentId="8_{C0597984-6486-41A5-AA4C-22AA7916E7B1}" xr6:coauthVersionLast="47" xr6:coauthVersionMax="47" xr10:uidLastSave="{00000000-0000-0000-0000-000000000000}"/>
  <bookViews>
    <workbookView xWindow="-108" yWindow="-108" windowWidth="23256" windowHeight="12456" tabRatio="705" firstSheet="1" activeTab="1" xr2:uid="{00000000-000D-0000-FFFF-FFFF00000000}"/>
  </bookViews>
  <sheets>
    <sheet name="Pilares" sheetId="120" r:id="rId1"/>
    <sheet name="Iniciativas 2026" sheetId="126" r:id="rId2"/>
    <sheet name="Painel - Cockpit" sheetId="121" r:id="rId3"/>
    <sheet name="Monitoramento" sheetId="125" r:id="rId4"/>
    <sheet name="Apoio" sheetId="119" state="hidden" r:id="rId5"/>
  </sheets>
  <definedNames>
    <definedName name="_xlnm._FilterDatabase" localSheetId="1" hidden="1">'Iniciativas 2026'!$A$1:$A$1048544</definedName>
    <definedName name="_xlnm._FilterDatabase" localSheetId="2" hidden="1">'Painel - Cockpit'!$N$3:$T$33</definedName>
    <definedName name="_xleta.AND" hidden="1" xlm="1">#NAME?</definedName>
    <definedName name="_xleta.IF" hidden="1" xlm="1">#NAME?</definedName>
    <definedName name="_xleta.LEFT" hidden="1" xlm="1">#NAME?</definedName>
    <definedName name="_xleta.MIN" hidden="1" xlm="1">#NAME?</definedName>
    <definedName name="_xleta.MONTH" hidden="1" xlm="1">#NAME?</definedName>
    <definedName name="_xleta.TODAY" hidden="1" xlm="1">#NAME?</definedName>
    <definedName name="_xleta.VALUE" hidden="1" xlm="1">#NAME?</definedName>
    <definedName name="_xleta.YEAR" hidden="1" xlm="1">#NAME?</definedName>
    <definedName name="SegmentaçãodeDados_Área1">#N/A</definedName>
    <definedName name="SegmentaçãodeDados_Ciclo1">#N/A</definedName>
    <definedName name="SegmentaçãodeDados_Onde_Estamos1">#N/A</definedName>
    <definedName name="SegmentaçãodeDados_Projeto_x_Iniciativa1">#N/A</definedName>
    <definedName name="SegmentaçãodeDados_QM1">#N/A</definedName>
  </definedNames>
  <calcPr calcId="191028"/>
  <customWorkbookViews>
    <customWorkbookView name="Gilberto Caray de A. Junior - Modo de exibição pessoal" guid="{431B8D47-D366-4D04-861B-53ADABC3873C}" mergeInterval="0" personalView="1" maximized="1" windowWidth="1159" windowHeight="646" activeSheetId="1"/>
    <customWorkbookView name="Gilberto Caray - Modo de exibição pessoal" guid="{8527FBE4-06F8-4A89-8E15-EB7BD8CF3242}" autoUpdate="1" mergeInterval="30" personalView="1" maximized="1" xWindow="1" yWindow="1" windowWidth="1276" windowHeight="550" activeSheetId="1"/>
    <customWorkbookView name="GILBERTO CARAY DE ASSIS JUNIOR - Modo de exibição pessoal" guid="{84B78D49-631B-4848-9156-A145C1D8F4DE}" mergeInterval="0" personalView="1" maximized="1" xWindow="-8" yWindow="-8" windowWidth="1382" windowHeight="744" activeSheetId="1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  <x14:slicerCache r:id="rId8"/>
        <x14:slicerCache r:id="rId9"/>
        <x14:slicerCache r:id="rId1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4" i="126" l="1"/>
  <c r="L56" i="126"/>
  <c r="R56" i="126"/>
  <c r="T56" i="126" s="1"/>
  <c r="U56" i="126"/>
  <c r="V56" i="126"/>
  <c r="W56" i="126"/>
  <c r="X56" i="126"/>
  <c r="Y56" i="126"/>
  <c r="Z56" i="126"/>
  <c r="AA56" i="126"/>
  <c r="AB56" i="126"/>
  <c r="AC56" i="126"/>
  <c r="AD56" i="126"/>
  <c r="AE56" i="126"/>
  <c r="AF56" i="126"/>
  <c r="AK56" i="126"/>
  <c r="AQ56" i="126"/>
  <c r="L54" i="126"/>
  <c r="R54" i="126"/>
  <c r="T54" i="126" s="1"/>
  <c r="V54" i="126"/>
  <c r="W54" i="126"/>
  <c r="X54" i="126"/>
  <c r="Y54" i="126"/>
  <c r="Z54" i="126"/>
  <c r="AA54" i="126"/>
  <c r="AB54" i="126"/>
  <c r="AC54" i="126"/>
  <c r="AD54" i="126"/>
  <c r="AE54" i="126"/>
  <c r="AF54" i="126"/>
  <c r="AK54" i="126"/>
  <c r="AQ54" i="126"/>
  <c r="L52" i="126"/>
  <c r="R52" i="126"/>
  <c r="T52" i="126" s="1"/>
  <c r="U52" i="126"/>
  <c r="V52" i="126"/>
  <c r="W52" i="126"/>
  <c r="X52" i="126"/>
  <c r="Y52" i="126"/>
  <c r="Z52" i="126"/>
  <c r="AA52" i="126"/>
  <c r="AB52" i="126"/>
  <c r="AC52" i="126"/>
  <c r="AD52" i="126"/>
  <c r="AE52" i="126"/>
  <c r="AF52" i="126"/>
  <c r="AK52" i="126"/>
  <c r="AQ52" i="126"/>
  <c r="X30" i="121"/>
  <c r="X20" i="121"/>
  <c r="X10" i="121"/>
  <c r="X25" i="121"/>
  <c r="X15" i="121"/>
  <c r="X5" i="121"/>
  <c r="H2" i="126"/>
  <c r="H1" i="126"/>
  <c r="AQ71" i="126"/>
  <c r="AK12" i="126"/>
  <c r="AK13" i="126"/>
  <c r="AK14" i="126"/>
  <c r="AK15" i="126"/>
  <c r="AK16" i="126"/>
  <c r="AK17" i="126"/>
  <c r="AK18" i="126"/>
  <c r="AK19" i="126"/>
  <c r="AK73" i="126"/>
  <c r="AK20" i="126"/>
  <c r="AK21" i="126"/>
  <c r="AK22" i="126"/>
  <c r="AK23" i="126"/>
  <c r="AK24" i="126"/>
  <c r="AK25" i="126"/>
  <c r="AK26" i="126"/>
  <c r="AK27" i="126"/>
  <c r="AK28" i="126"/>
  <c r="AK29" i="126"/>
  <c r="AK30" i="126"/>
  <c r="AK31" i="126"/>
  <c r="AK32" i="126"/>
  <c r="AK33" i="126"/>
  <c r="AK34" i="126"/>
  <c r="AK35" i="126"/>
  <c r="AK36" i="126"/>
  <c r="AK38" i="126"/>
  <c r="AK39" i="126"/>
  <c r="AK40" i="126"/>
  <c r="AK41" i="126"/>
  <c r="AK43" i="126"/>
  <c r="AK42" i="126"/>
  <c r="AK44" i="126"/>
  <c r="AK45" i="126"/>
  <c r="AK48" i="126"/>
  <c r="AK46" i="126"/>
  <c r="AK49" i="126"/>
  <c r="AK47" i="126"/>
  <c r="AK50" i="126"/>
  <c r="AK63" i="126"/>
  <c r="AK66" i="126"/>
  <c r="AK65" i="126"/>
  <c r="AK58" i="126"/>
  <c r="AK57" i="126"/>
  <c r="AK61" i="126"/>
  <c r="AK60" i="126"/>
  <c r="AK51" i="126"/>
  <c r="AK62" i="126"/>
  <c r="AK59" i="126"/>
  <c r="AK53" i="126"/>
  <c r="AK55" i="126"/>
  <c r="AK71" i="126"/>
  <c r="AK64" i="126"/>
  <c r="AK67" i="126"/>
  <c r="AK37" i="126"/>
  <c r="AK76" i="126"/>
  <c r="AK70" i="126"/>
  <c r="AK77" i="126"/>
  <c r="AK68" i="126"/>
  <c r="AK69" i="126"/>
  <c r="AK74" i="126"/>
  <c r="AK72" i="126"/>
  <c r="AK78" i="126"/>
  <c r="AK75" i="126"/>
  <c r="N75" i="126"/>
  <c r="N78" i="126"/>
  <c r="N74" i="126"/>
  <c r="N70" i="126"/>
  <c r="N76" i="126"/>
  <c r="N37" i="126"/>
  <c r="N64" i="126"/>
  <c r="N71" i="126"/>
  <c r="N55" i="126"/>
  <c r="N60" i="126"/>
  <c r="N61" i="126"/>
  <c r="N50" i="126"/>
  <c r="N41" i="126"/>
  <c r="L12" i="126"/>
  <c r="L16" i="126"/>
  <c r="L15" i="126"/>
  <c r="L73" i="126"/>
  <c r="L19" i="126"/>
  <c r="L75" i="126"/>
  <c r="L78" i="126"/>
  <c r="L69" i="126"/>
  <c r="L77" i="126"/>
  <c r="L70" i="126"/>
  <c r="L37" i="126"/>
  <c r="L67" i="126"/>
  <c r="L64" i="126"/>
  <c r="L71" i="126"/>
  <c r="L55" i="126"/>
  <c r="L53" i="126"/>
  <c r="L59" i="126"/>
  <c r="L62" i="126"/>
  <c r="L51" i="126"/>
  <c r="L60" i="126"/>
  <c r="L61" i="126"/>
  <c r="L57" i="126"/>
  <c r="L58" i="126"/>
  <c r="L65" i="126"/>
  <c r="L66" i="126"/>
  <c r="L63" i="126"/>
  <c r="L50" i="126"/>
  <c r="L47" i="126"/>
  <c r="L49" i="126"/>
  <c r="L46" i="126"/>
  <c r="L48" i="126"/>
  <c r="L42" i="126"/>
  <c r="L41" i="126"/>
  <c r="Q73" i="126"/>
  <c r="AB73" i="126" s="1"/>
  <c r="R73" i="126"/>
  <c r="T73" i="126" s="1"/>
  <c r="AQ73" i="126"/>
  <c r="AS73" i="126" s="1"/>
  <c r="AR56" i="126" l="1"/>
  <c r="AR54" i="126"/>
  <c r="AR52" i="126"/>
  <c r="AS52" i="126"/>
  <c r="AS54" i="126"/>
  <c r="AS56" i="126"/>
  <c r="AS71" i="126"/>
  <c r="AE73" i="126"/>
  <c r="AD73" i="126"/>
  <c r="AA73" i="126"/>
  <c r="Z73" i="126"/>
  <c r="Y73" i="126"/>
  <c r="V73" i="126"/>
  <c r="AF73" i="126"/>
  <c r="U73" i="126"/>
  <c r="AC73" i="126"/>
  <c r="X73" i="126"/>
  <c r="W73" i="126"/>
  <c r="AR73" i="126"/>
  <c r="N65" i="126"/>
  <c r="Q42" i="126" l="1"/>
  <c r="AB42" i="126" s="1"/>
  <c r="R42" i="126"/>
  <c r="T42" i="126" s="1"/>
  <c r="U42" i="126"/>
  <c r="V42" i="126"/>
  <c r="AQ42" i="126"/>
  <c r="AS42" i="126" s="1"/>
  <c r="Q12" i="126"/>
  <c r="Q13" i="126"/>
  <c r="Q14" i="126"/>
  <c r="Q15" i="126"/>
  <c r="Q16" i="126"/>
  <c r="Q17" i="126"/>
  <c r="Q18" i="126"/>
  <c r="Q19" i="126"/>
  <c r="Q20" i="126"/>
  <c r="Q21" i="126"/>
  <c r="Q22" i="126"/>
  <c r="Q23" i="126"/>
  <c r="Q24" i="126"/>
  <c r="Q25" i="126"/>
  <c r="Q26" i="126"/>
  <c r="Q27" i="126"/>
  <c r="Q28" i="126"/>
  <c r="Q29" i="126"/>
  <c r="Q30" i="126"/>
  <c r="Q31" i="126"/>
  <c r="Q32" i="126"/>
  <c r="Q33" i="126"/>
  <c r="Q34" i="126"/>
  <c r="Q35" i="126"/>
  <c r="Q36" i="126"/>
  <c r="Q38" i="126"/>
  <c r="Q39" i="126"/>
  <c r="Q40" i="126"/>
  <c r="Q41" i="126"/>
  <c r="Q43" i="126"/>
  <c r="Q44" i="126"/>
  <c r="Q45" i="126"/>
  <c r="Q48" i="126"/>
  <c r="Q46" i="126"/>
  <c r="Q49" i="126"/>
  <c r="Q47" i="126"/>
  <c r="Q50" i="126"/>
  <c r="Q63" i="126"/>
  <c r="Q66" i="126"/>
  <c r="Q65" i="126"/>
  <c r="Q58" i="126"/>
  <c r="Q57" i="126"/>
  <c r="Q61" i="126"/>
  <c r="Q60" i="126"/>
  <c r="X60" i="126" s="1"/>
  <c r="Q51" i="126"/>
  <c r="Q62" i="126"/>
  <c r="Q59" i="126"/>
  <c r="Q53" i="126"/>
  <c r="Q55" i="126"/>
  <c r="Q71" i="126"/>
  <c r="Q64" i="126"/>
  <c r="Q67" i="126"/>
  <c r="Q37" i="126"/>
  <c r="Q76" i="126"/>
  <c r="Q70" i="126"/>
  <c r="Q77" i="126"/>
  <c r="Q68" i="126"/>
  <c r="Q69" i="126"/>
  <c r="Q74" i="126"/>
  <c r="Q72" i="126"/>
  <c r="Q78" i="126"/>
  <c r="Q75" i="126"/>
  <c r="Y61" i="126" l="1"/>
  <c r="AD61" i="126"/>
  <c r="Z61" i="126"/>
  <c r="AA61" i="126"/>
  <c r="AE61" i="126"/>
  <c r="AB61" i="126"/>
  <c r="AC61" i="126"/>
  <c r="V62" i="126"/>
  <c r="W62" i="126"/>
  <c r="X62" i="126"/>
  <c r="Y62" i="126"/>
  <c r="AA62" i="126"/>
  <c r="Z62" i="126"/>
  <c r="AB62" i="126"/>
  <c r="AD62" i="126"/>
  <c r="AC62" i="126"/>
  <c r="Z42" i="126"/>
  <c r="AA42" i="126"/>
  <c r="Y42" i="126"/>
  <c r="AF42" i="126"/>
  <c r="X42" i="126"/>
  <c r="AE42" i="126"/>
  <c r="W42" i="126"/>
  <c r="AD42" i="126"/>
  <c r="AC42" i="126"/>
  <c r="AR42" i="126"/>
  <c r="AB43" i="126"/>
  <c r="X46" i="126"/>
  <c r="AA49" i="126"/>
  <c r="AB47" i="126"/>
  <c r="R43" i="126"/>
  <c r="T43" i="126" s="1"/>
  <c r="R44" i="126"/>
  <c r="T44" i="126" s="1"/>
  <c r="U44" i="126"/>
  <c r="V44" i="126"/>
  <c r="W44" i="126"/>
  <c r="X44" i="126"/>
  <c r="Y44" i="126"/>
  <c r="Z44" i="126"/>
  <c r="AA44" i="126"/>
  <c r="AB44" i="126"/>
  <c r="AC44" i="126"/>
  <c r="AD44" i="126"/>
  <c r="AE44" i="126"/>
  <c r="AF44" i="126"/>
  <c r="R45" i="126"/>
  <c r="T45" i="126" s="1"/>
  <c r="U45" i="126"/>
  <c r="V45" i="126"/>
  <c r="W45" i="126"/>
  <c r="X45" i="126"/>
  <c r="Y45" i="126"/>
  <c r="Z45" i="126"/>
  <c r="AA45" i="126"/>
  <c r="AB45" i="126"/>
  <c r="AC45" i="126"/>
  <c r="AD45" i="126"/>
  <c r="AE45" i="126"/>
  <c r="AF45" i="126"/>
  <c r="R48" i="126"/>
  <c r="T48" i="126" s="1"/>
  <c r="U48" i="126"/>
  <c r="V48" i="126"/>
  <c r="W48" i="126"/>
  <c r="X48" i="126"/>
  <c r="Y48" i="126"/>
  <c r="Z48" i="126"/>
  <c r="AA48" i="126"/>
  <c r="AB48" i="126"/>
  <c r="AC48" i="126"/>
  <c r="AD48" i="126"/>
  <c r="AE48" i="126"/>
  <c r="AF48" i="126"/>
  <c r="R46" i="126"/>
  <c r="T46" i="126" s="1"/>
  <c r="U46" i="126"/>
  <c r="V46" i="126"/>
  <c r="W46" i="126"/>
  <c r="AC46" i="126"/>
  <c r="AD46" i="126"/>
  <c r="AE46" i="126"/>
  <c r="R49" i="126"/>
  <c r="T49" i="126" s="1"/>
  <c r="U49" i="126"/>
  <c r="V49" i="126"/>
  <c r="Y49" i="126"/>
  <c r="Z49" i="126"/>
  <c r="R47" i="126"/>
  <c r="T47" i="126" s="1"/>
  <c r="U47" i="126"/>
  <c r="V47" i="126"/>
  <c r="W47" i="126"/>
  <c r="X47" i="126"/>
  <c r="Y47" i="126"/>
  <c r="R50" i="126"/>
  <c r="T50" i="126" s="1"/>
  <c r="U50" i="126"/>
  <c r="V50" i="126"/>
  <c r="W50" i="126"/>
  <c r="X50" i="126"/>
  <c r="Y50" i="126"/>
  <c r="Z50" i="126"/>
  <c r="AA50" i="126"/>
  <c r="AB50" i="126"/>
  <c r="AC50" i="126"/>
  <c r="AD50" i="126"/>
  <c r="AE50" i="126"/>
  <c r="AF50" i="126"/>
  <c r="AQ44" i="126"/>
  <c r="AS44" i="126" s="1"/>
  <c r="AQ12" i="126"/>
  <c r="AS12" i="126" s="1"/>
  <c r="AQ14" i="126"/>
  <c r="AS14" i="126" s="1"/>
  <c r="AQ13" i="126"/>
  <c r="AS13" i="126" s="1"/>
  <c r="AQ15" i="126"/>
  <c r="AS15" i="126" s="1"/>
  <c r="AQ16" i="126"/>
  <c r="AS16" i="126" s="1"/>
  <c r="AQ17" i="126"/>
  <c r="AS17" i="126" s="1"/>
  <c r="AQ18" i="126"/>
  <c r="AS18" i="126" s="1"/>
  <c r="AQ19" i="126"/>
  <c r="AS19" i="126" s="1"/>
  <c r="AQ20" i="126"/>
  <c r="AS20" i="126" s="1"/>
  <c r="AQ21" i="126"/>
  <c r="AS21" i="126" s="1"/>
  <c r="AQ22" i="126"/>
  <c r="AS22" i="126" s="1"/>
  <c r="AQ23" i="126"/>
  <c r="AS23" i="126" s="1"/>
  <c r="AQ24" i="126"/>
  <c r="AS24" i="126" s="1"/>
  <c r="AQ25" i="126"/>
  <c r="AS25" i="126" s="1"/>
  <c r="AQ26" i="126"/>
  <c r="AS26" i="126" s="1"/>
  <c r="AQ27" i="126"/>
  <c r="AS27" i="126" s="1"/>
  <c r="AQ28" i="126"/>
  <c r="AS28" i="126" s="1"/>
  <c r="AQ29" i="126"/>
  <c r="AS29" i="126" s="1"/>
  <c r="AQ30" i="126"/>
  <c r="AS30" i="126" s="1"/>
  <c r="AQ31" i="126"/>
  <c r="AS31" i="126" s="1"/>
  <c r="AQ32" i="126"/>
  <c r="AS32" i="126" s="1"/>
  <c r="AQ33" i="126"/>
  <c r="AS33" i="126" s="1"/>
  <c r="AQ34" i="126"/>
  <c r="AS34" i="126" s="1"/>
  <c r="AQ35" i="126"/>
  <c r="AS35" i="126" s="1"/>
  <c r="AQ36" i="126"/>
  <c r="AS36" i="126" s="1"/>
  <c r="AQ38" i="126"/>
  <c r="AS38" i="126" s="1"/>
  <c r="AQ39" i="126"/>
  <c r="AS39" i="126" s="1"/>
  <c r="AQ40" i="126"/>
  <c r="AS40" i="126" s="1"/>
  <c r="AQ41" i="126"/>
  <c r="AS41" i="126" s="1"/>
  <c r="AQ43" i="126"/>
  <c r="AS43" i="126" s="1"/>
  <c r="AQ45" i="126"/>
  <c r="AS45" i="126" s="1"/>
  <c r="AQ48" i="126"/>
  <c r="AS48" i="126" s="1"/>
  <c r="AQ46" i="126"/>
  <c r="AS46" i="126" s="1"/>
  <c r="AQ49" i="126"/>
  <c r="AS49" i="126" s="1"/>
  <c r="AQ47" i="126"/>
  <c r="AS47" i="126" s="1"/>
  <c r="AQ50" i="126"/>
  <c r="AS50" i="126" s="1"/>
  <c r="AQ63" i="126"/>
  <c r="AS63" i="126" s="1"/>
  <c r="AQ66" i="126"/>
  <c r="AS66" i="126" s="1"/>
  <c r="AQ65" i="126"/>
  <c r="AS65" i="126" s="1"/>
  <c r="AQ58" i="126"/>
  <c r="AS58" i="126" s="1"/>
  <c r="AQ57" i="126"/>
  <c r="AS57" i="126" s="1"/>
  <c r="AQ61" i="126"/>
  <c r="AS61" i="126" s="1"/>
  <c r="AQ60" i="126"/>
  <c r="AS60" i="126" s="1"/>
  <c r="AQ51" i="126"/>
  <c r="AS51" i="126" s="1"/>
  <c r="AQ62" i="126"/>
  <c r="AS62" i="126" s="1"/>
  <c r="AQ59" i="126"/>
  <c r="AS59" i="126" s="1"/>
  <c r="AQ53" i="126"/>
  <c r="AS53" i="126" s="1"/>
  <c r="AQ55" i="126"/>
  <c r="AS55" i="126" s="1"/>
  <c r="AQ64" i="126"/>
  <c r="AS64" i="126" s="1"/>
  <c r="AQ67" i="126"/>
  <c r="AS67" i="126" s="1"/>
  <c r="AQ37" i="126"/>
  <c r="AS37" i="126" s="1"/>
  <c r="AQ76" i="126"/>
  <c r="AS76" i="126" s="1"/>
  <c r="AQ70" i="126"/>
  <c r="AS70" i="126" s="1"/>
  <c r="AQ77" i="126"/>
  <c r="AS77" i="126" s="1"/>
  <c r="AQ68" i="126"/>
  <c r="AS68" i="126" s="1"/>
  <c r="AQ69" i="126"/>
  <c r="AS69" i="126" s="1"/>
  <c r="AQ74" i="126"/>
  <c r="AS74" i="126" s="1"/>
  <c r="AQ72" i="126"/>
  <c r="AS72" i="126" s="1"/>
  <c r="AQ78" i="126"/>
  <c r="AS78" i="126" s="1"/>
  <c r="AQ75" i="126"/>
  <c r="AS75" i="126" s="1"/>
  <c r="AF20" i="126"/>
  <c r="AE20" i="126"/>
  <c r="AD20" i="126"/>
  <c r="AC20" i="126"/>
  <c r="AB20" i="126"/>
  <c r="AA20" i="126"/>
  <c r="Z20" i="126"/>
  <c r="Y20" i="126"/>
  <c r="X20" i="126"/>
  <c r="W20" i="126"/>
  <c r="V20" i="126"/>
  <c r="U20" i="126"/>
  <c r="R20" i="126"/>
  <c r="T20" i="126" s="1"/>
  <c r="AF40" i="126"/>
  <c r="AE40" i="126"/>
  <c r="AD40" i="126"/>
  <c r="AC40" i="126"/>
  <c r="AB40" i="126"/>
  <c r="AA40" i="126"/>
  <c r="Z40" i="126"/>
  <c r="Y40" i="126"/>
  <c r="X40" i="126"/>
  <c r="W40" i="126"/>
  <c r="V40" i="126"/>
  <c r="U40" i="126"/>
  <c r="R40" i="126"/>
  <c r="T40" i="126" s="1"/>
  <c r="AF16" i="126"/>
  <c r="AE16" i="126"/>
  <c r="AD16" i="126"/>
  <c r="AC16" i="126"/>
  <c r="AB16" i="126"/>
  <c r="AA16" i="126"/>
  <c r="Z16" i="126"/>
  <c r="Y16" i="126"/>
  <c r="X16" i="126"/>
  <c r="W16" i="126"/>
  <c r="V16" i="126"/>
  <c r="U16" i="126"/>
  <c r="R16" i="126"/>
  <c r="T16" i="126" s="1"/>
  <c r="AF34" i="126"/>
  <c r="AE34" i="126"/>
  <c r="AD34" i="126"/>
  <c r="AC34" i="126"/>
  <c r="AB34" i="126"/>
  <c r="AA34" i="126"/>
  <c r="Z34" i="126"/>
  <c r="Y34" i="126"/>
  <c r="X34" i="126"/>
  <c r="W34" i="126"/>
  <c r="V34" i="126"/>
  <c r="U34" i="126"/>
  <c r="R34" i="126"/>
  <c r="T34" i="126" s="1"/>
  <c r="AF30" i="126"/>
  <c r="AE30" i="126"/>
  <c r="AD30" i="126"/>
  <c r="AC30" i="126"/>
  <c r="AB30" i="126"/>
  <c r="AA30" i="126"/>
  <c r="Z30" i="126"/>
  <c r="Y30" i="126"/>
  <c r="X30" i="126"/>
  <c r="W30" i="126"/>
  <c r="V30" i="126"/>
  <c r="U30" i="126"/>
  <c r="R30" i="126"/>
  <c r="T30" i="126" s="1"/>
  <c r="AF70" i="126"/>
  <c r="AE70" i="126"/>
  <c r="AD70" i="126"/>
  <c r="AC70" i="126"/>
  <c r="AB70" i="126"/>
  <c r="AA70" i="126"/>
  <c r="Z70" i="126"/>
  <c r="Y70" i="126"/>
  <c r="X70" i="126"/>
  <c r="W70" i="126"/>
  <c r="V70" i="126"/>
  <c r="U70" i="126"/>
  <c r="R70" i="126"/>
  <c r="T70" i="126" s="1"/>
  <c r="AF61" i="126"/>
  <c r="X61" i="126"/>
  <c r="W61" i="126"/>
  <c r="V61" i="126"/>
  <c r="U61" i="126"/>
  <c r="R61" i="126"/>
  <c r="T61" i="126" s="1"/>
  <c r="AF41" i="126"/>
  <c r="AE41" i="126"/>
  <c r="AD41" i="126"/>
  <c r="AC41" i="126"/>
  <c r="AB41" i="126"/>
  <c r="AA41" i="126"/>
  <c r="Z41" i="126"/>
  <c r="Y41" i="126"/>
  <c r="X41" i="126"/>
  <c r="W41" i="126"/>
  <c r="V41" i="126"/>
  <c r="U41" i="126"/>
  <c r="R41" i="126"/>
  <c r="T41" i="126" s="1"/>
  <c r="AF37" i="126"/>
  <c r="AE37" i="126"/>
  <c r="AD37" i="126"/>
  <c r="AC37" i="126"/>
  <c r="AB37" i="126"/>
  <c r="AA37" i="126"/>
  <c r="Z37" i="126"/>
  <c r="Y37" i="126"/>
  <c r="X37" i="126"/>
  <c r="W37" i="126"/>
  <c r="V37" i="126"/>
  <c r="U37" i="126"/>
  <c r="R37" i="126"/>
  <c r="T37" i="126" s="1"/>
  <c r="AF66" i="126"/>
  <c r="AE66" i="126"/>
  <c r="AD66" i="126"/>
  <c r="AC66" i="126"/>
  <c r="AB66" i="126"/>
  <c r="AA66" i="126"/>
  <c r="Z66" i="126"/>
  <c r="Y66" i="126"/>
  <c r="X66" i="126"/>
  <c r="W66" i="126"/>
  <c r="V66" i="126"/>
  <c r="U66" i="126"/>
  <c r="R66" i="126"/>
  <c r="T66" i="126" s="1"/>
  <c r="AF39" i="126"/>
  <c r="AE39" i="126"/>
  <c r="AD39" i="126"/>
  <c r="AC39" i="126"/>
  <c r="AB39" i="126"/>
  <c r="AA39" i="126"/>
  <c r="Z39" i="126"/>
  <c r="Y39" i="126"/>
  <c r="X39" i="126"/>
  <c r="W39" i="126"/>
  <c r="V39" i="126"/>
  <c r="U39" i="126"/>
  <c r="R39" i="126"/>
  <c r="T39" i="126" s="1"/>
  <c r="AF64" i="126"/>
  <c r="AE64" i="126"/>
  <c r="AD64" i="126"/>
  <c r="AC64" i="126"/>
  <c r="AB64" i="126"/>
  <c r="AA64" i="126"/>
  <c r="Z64" i="126"/>
  <c r="Y64" i="126"/>
  <c r="X64" i="126"/>
  <c r="W64" i="126"/>
  <c r="V64" i="126"/>
  <c r="U64" i="126"/>
  <c r="R64" i="126"/>
  <c r="T64" i="126" s="1"/>
  <c r="AF32" i="126"/>
  <c r="AE32" i="126"/>
  <c r="AD32" i="126"/>
  <c r="AC32" i="126"/>
  <c r="AB32" i="126"/>
  <c r="AA32" i="126"/>
  <c r="Z32" i="126"/>
  <c r="Y32" i="126"/>
  <c r="X32" i="126"/>
  <c r="W32" i="126"/>
  <c r="V32" i="126"/>
  <c r="U32" i="126"/>
  <c r="R32" i="126"/>
  <c r="T32" i="126" s="1"/>
  <c r="AF78" i="126"/>
  <c r="AE78" i="126"/>
  <c r="AD78" i="126"/>
  <c r="AC78" i="126"/>
  <c r="AB78" i="126"/>
  <c r="AA78" i="126"/>
  <c r="Z78" i="126"/>
  <c r="Y78" i="126"/>
  <c r="X78" i="126"/>
  <c r="W78" i="126"/>
  <c r="V78" i="126"/>
  <c r="U78" i="126"/>
  <c r="R78" i="126"/>
  <c r="T78" i="126" s="1"/>
  <c r="AF72" i="126"/>
  <c r="AE72" i="126"/>
  <c r="AD72" i="126"/>
  <c r="AC72" i="126"/>
  <c r="AB72" i="126"/>
  <c r="AA72" i="126"/>
  <c r="Z72" i="126"/>
  <c r="Y72" i="126"/>
  <c r="X72" i="126"/>
  <c r="W72" i="126"/>
  <c r="V72" i="126"/>
  <c r="U72" i="126"/>
  <c r="R72" i="126"/>
  <c r="T72" i="126" s="1"/>
  <c r="AF69" i="126"/>
  <c r="AE69" i="126"/>
  <c r="AD69" i="126"/>
  <c r="AC69" i="126"/>
  <c r="AB69" i="126"/>
  <c r="AA69" i="126"/>
  <c r="Z69" i="126"/>
  <c r="Y69" i="126"/>
  <c r="X69" i="126"/>
  <c r="W69" i="126"/>
  <c r="V69" i="126"/>
  <c r="U69" i="126"/>
  <c r="R69" i="126"/>
  <c r="T69" i="126" s="1"/>
  <c r="AF60" i="126"/>
  <c r="AE60" i="126"/>
  <c r="AD60" i="126"/>
  <c r="AC60" i="126"/>
  <c r="AB60" i="126"/>
  <c r="AA60" i="126"/>
  <c r="Z60" i="126"/>
  <c r="Y60" i="126"/>
  <c r="W60" i="126"/>
  <c r="V60" i="126"/>
  <c r="U60" i="126"/>
  <c r="R60" i="126"/>
  <c r="T60" i="126" s="1"/>
  <c r="AF57" i="126"/>
  <c r="AE57" i="126"/>
  <c r="AD57" i="126"/>
  <c r="AC57" i="126"/>
  <c r="AB57" i="126"/>
  <c r="AA57" i="126"/>
  <c r="Z57" i="126"/>
  <c r="Y57" i="126"/>
  <c r="X57" i="126"/>
  <c r="W57" i="126"/>
  <c r="V57" i="126"/>
  <c r="U57" i="126"/>
  <c r="R57" i="126"/>
  <c r="T57" i="126" s="1"/>
  <c r="AF58" i="126"/>
  <c r="AE58" i="126"/>
  <c r="AD58" i="126"/>
  <c r="AC58" i="126"/>
  <c r="AB58" i="126"/>
  <c r="AA58" i="126"/>
  <c r="Z58" i="126"/>
  <c r="Y58" i="126"/>
  <c r="X58" i="126"/>
  <c r="W58" i="126"/>
  <c r="V58" i="126"/>
  <c r="U58" i="126"/>
  <c r="R58" i="126"/>
  <c r="T58" i="126" s="1"/>
  <c r="AF65" i="126"/>
  <c r="AE65" i="126"/>
  <c r="AD65" i="126"/>
  <c r="AC65" i="126"/>
  <c r="AB65" i="126"/>
  <c r="AA65" i="126"/>
  <c r="Z65" i="126"/>
  <c r="Y65" i="126"/>
  <c r="X65" i="126"/>
  <c r="W65" i="126"/>
  <c r="V65" i="126"/>
  <c r="U65" i="126"/>
  <c r="R65" i="126"/>
  <c r="T65" i="126" s="1"/>
  <c r="AF77" i="126"/>
  <c r="AE77" i="126"/>
  <c r="AD77" i="126"/>
  <c r="AC77" i="126"/>
  <c r="AB77" i="126"/>
  <c r="AA77" i="126"/>
  <c r="Z77" i="126"/>
  <c r="Y77" i="126"/>
  <c r="X77" i="126"/>
  <c r="W77" i="126"/>
  <c r="V77" i="126"/>
  <c r="U77" i="126"/>
  <c r="R77" i="126"/>
  <c r="T77" i="126" s="1"/>
  <c r="AF68" i="126"/>
  <c r="AE68" i="126"/>
  <c r="AD68" i="126"/>
  <c r="AC68" i="126"/>
  <c r="AB68" i="126"/>
  <c r="AA68" i="126"/>
  <c r="Z68" i="126"/>
  <c r="Y68" i="126"/>
  <c r="X68" i="126"/>
  <c r="W68" i="126"/>
  <c r="V68" i="126"/>
  <c r="U68" i="126"/>
  <c r="R68" i="126"/>
  <c r="T68" i="126" s="1"/>
  <c r="U31" i="126"/>
  <c r="R31" i="126"/>
  <c r="T31" i="126" s="1"/>
  <c r="AF55" i="126"/>
  <c r="AE55" i="126"/>
  <c r="AD55" i="126"/>
  <c r="AC55" i="126"/>
  <c r="AB55" i="126"/>
  <c r="AA55" i="126"/>
  <c r="Z55" i="126"/>
  <c r="Y55" i="126"/>
  <c r="X55" i="126"/>
  <c r="W55" i="126"/>
  <c r="V55" i="126"/>
  <c r="U55" i="126"/>
  <c r="R55" i="126"/>
  <c r="T55" i="126" s="1"/>
  <c r="AF59" i="126"/>
  <c r="AE59" i="126"/>
  <c r="AD59" i="126"/>
  <c r="AC59" i="126"/>
  <c r="AB59" i="126"/>
  <c r="AA59" i="126"/>
  <c r="Z59" i="126"/>
  <c r="Y59" i="126"/>
  <c r="X59" i="126"/>
  <c r="W59" i="126"/>
  <c r="V59" i="126"/>
  <c r="U59" i="126"/>
  <c r="R59" i="126"/>
  <c r="T59" i="126" s="1"/>
  <c r="AF67" i="126"/>
  <c r="AE67" i="126"/>
  <c r="AD67" i="126"/>
  <c r="AC67" i="126"/>
  <c r="AB67" i="126"/>
  <c r="AA67" i="126"/>
  <c r="Z67" i="126"/>
  <c r="Y67" i="126"/>
  <c r="X67" i="126"/>
  <c r="W67" i="126"/>
  <c r="V67" i="126"/>
  <c r="U67" i="126"/>
  <c r="R67" i="126"/>
  <c r="T67" i="126" s="1"/>
  <c r="AF71" i="126"/>
  <c r="AE71" i="126"/>
  <c r="AD71" i="126"/>
  <c r="AC71" i="126"/>
  <c r="AB71" i="126"/>
  <c r="AA71" i="126"/>
  <c r="Z71" i="126"/>
  <c r="Y71" i="126"/>
  <c r="X71" i="126"/>
  <c r="W71" i="126"/>
  <c r="V71" i="126"/>
  <c r="U71" i="126"/>
  <c r="R71" i="126"/>
  <c r="T71" i="126" s="1"/>
  <c r="AF53" i="126"/>
  <c r="AE53" i="126"/>
  <c r="AD53" i="126"/>
  <c r="AC53" i="126"/>
  <c r="AB53" i="126"/>
  <c r="AA53" i="126"/>
  <c r="Z53" i="126"/>
  <c r="Y53" i="126"/>
  <c r="X53" i="126"/>
  <c r="W53" i="126"/>
  <c r="V53" i="126"/>
  <c r="U53" i="126"/>
  <c r="R53" i="126"/>
  <c r="T53" i="126" s="1"/>
  <c r="AF75" i="126"/>
  <c r="AE75" i="126"/>
  <c r="AD75" i="126"/>
  <c r="AC75" i="126"/>
  <c r="AB75" i="126"/>
  <c r="AA75" i="126"/>
  <c r="Z75" i="126"/>
  <c r="Y75" i="126"/>
  <c r="X75" i="126"/>
  <c r="W75" i="126"/>
  <c r="V75" i="126"/>
  <c r="U75" i="126"/>
  <c r="R75" i="126"/>
  <c r="T75" i="126" s="1"/>
  <c r="AF17" i="126"/>
  <c r="AE17" i="126"/>
  <c r="AD17" i="126"/>
  <c r="AC17" i="126"/>
  <c r="AB17" i="126"/>
  <c r="AA17" i="126"/>
  <c r="Z17" i="126"/>
  <c r="Y17" i="126"/>
  <c r="X17" i="126"/>
  <c r="W17" i="126"/>
  <c r="V17" i="126"/>
  <c r="U17" i="126"/>
  <c r="R17" i="126"/>
  <c r="T17" i="126" s="1"/>
  <c r="AF26" i="126"/>
  <c r="AE26" i="126"/>
  <c r="AD26" i="126"/>
  <c r="AC26" i="126"/>
  <c r="AB26" i="126"/>
  <c r="AA26" i="126"/>
  <c r="Z26" i="126"/>
  <c r="Y26" i="126"/>
  <c r="X26" i="126"/>
  <c r="W26" i="126"/>
  <c r="V26" i="126"/>
  <c r="U26" i="126"/>
  <c r="R26" i="126"/>
  <c r="T26" i="126" s="1"/>
  <c r="AF27" i="126"/>
  <c r="AE27" i="126"/>
  <c r="AD27" i="126"/>
  <c r="AC27" i="126"/>
  <c r="AB27" i="126"/>
  <c r="AA27" i="126"/>
  <c r="Z27" i="126"/>
  <c r="Y27" i="126"/>
  <c r="X27" i="126"/>
  <c r="W27" i="126"/>
  <c r="V27" i="126"/>
  <c r="U27" i="126"/>
  <c r="R27" i="126"/>
  <c r="T27" i="126" s="1"/>
  <c r="AF24" i="126"/>
  <c r="AE24" i="126"/>
  <c r="AD24" i="126"/>
  <c r="AC24" i="126"/>
  <c r="AB24" i="126"/>
  <c r="AA24" i="126"/>
  <c r="Z24" i="126"/>
  <c r="Y24" i="126"/>
  <c r="X24" i="126"/>
  <c r="W24" i="126"/>
  <c r="V24" i="126"/>
  <c r="U24" i="126"/>
  <c r="R24" i="126"/>
  <c r="T24" i="126" s="1"/>
  <c r="AF23" i="126"/>
  <c r="AE23" i="126"/>
  <c r="AD23" i="126"/>
  <c r="AC23" i="126"/>
  <c r="AB23" i="126"/>
  <c r="AA23" i="126"/>
  <c r="Z23" i="126"/>
  <c r="Y23" i="126"/>
  <c r="X23" i="126"/>
  <c r="W23" i="126"/>
  <c r="V23" i="126"/>
  <c r="U23" i="126"/>
  <c r="R23" i="126"/>
  <c r="T23" i="126" s="1"/>
  <c r="AF25" i="126"/>
  <c r="AE25" i="126"/>
  <c r="AD25" i="126"/>
  <c r="AC25" i="126"/>
  <c r="AB25" i="126"/>
  <c r="AA25" i="126"/>
  <c r="Z25" i="126"/>
  <c r="Y25" i="126"/>
  <c r="X25" i="126"/>
  <c r="W25" i="126"/>
  <c r="V25" i="126"/>
  <c r="U25" i="126"/>
  <c r="R25" i="126"/>
  <c r="T25" i="126" s="1"/>
  <c r="AF38" i="126"/>
  <c r="AE38" i="126"/>
  <c r="AD38" i="126"/>
  <c r="AC38" i="126"/>
  <c r="AB38" i="126"/>
  <c r="AA38" i="126"/>
  <c r="Z38" i="126"/>
  <c r="Y38" i="126"/>
  <c r="X38" i="126"/>
  <c r="W38" i="126"/>
  <c r="V38" i="126"/>
  <c r="U38" i="126"/>
  <c r="R38" i="126"/>
  <c r="T38" i="126" s="1"/>
  <c r="W1" i="121"/>
  <c r="V1" i="121"/>
  <c r="D4" i="119"/>
  <c r="D3" i="119"/>
  <c r="D2" i="119"/>
  <c r="R22" i="126"/>
  <c r="T22" i="126" s="1"/>
  <c r="U22" i="126"/>
  <c r="V22" i="126"/>
  <c r="W22" i="126"/>
  <c r="X22" i="126"/>
  <c r="Y22" i="126"/>
  <c r="Z22" i="126"/>
  <c r="AA22" i="126"/>
  <c r="AB22" i="126"/>
  <c r="AC22" i="126"/>
  <c r="AD22" i="126"/>
  <c r="AE22" i="126"/>
  <c r="AF22" i="126"/>
  <c r="Y12" i="126"/>
  <c r="R35" i="126"/>
  <c r="T35" i="126" s="1"/>
  <c r="U35" i="126"/>
  <c r="V35" i="126"/>
  <c r="W35" i="126"/>
  <c r="X35" i="126"/>
  <c r="Y35" i="126"/>
  <c r="Z35" i="126"/>
  <c r="AA35" i="126"/>
  <c r="AB35" i="126"/>
  <c r="AC35" i="126"/>
  <c r="AD35" i="126"/>
  <c r="AE35" i="126"/>
  <c r="AF35" i="126"/>
  <c r="R76" i="126"/>
  <c r="T76" i="126" s="1"/>
  <c r="U76" i="126"/>
  <c r="V76" i="126"/>
  <c r="W76" i="126"/>
  <c r="X76" i="126"/>
  <c r="Y76" i="126"/>
  <c r="Z76" i="126"/>
  <c r="AA76" i="126"/>
  <c r="AB76" i="126"/>
  <c r="AC76" i="126"/>
  <c r="AD76" i="126"/>
  <c r="AE76" i="126"/>
  <c r="AF76" i="126"/>
  <c r="R19" i="126"/>
  <c r="T19" i="126" s="1"/>
  <c r="U19" i="126"/>
  <c r="V19" i="126"/>
  <c r="W19" i="126"/>
  <c r="X19" i="126"/>
  <c r="Y19" i="126"/>
  <c r="Z19" i="126"/>
  <c r="AA19" i="126"/>
  <c r="AB19" i="126"/>
  <c r="AC19" i="126"/>
  <c r="AD19" i="126"/>
  <c r="AE19" i="126"/>
  <c r="AF19" i="126"/>
  <c r="B16" i="119"/>
  <c r="B17" i="119"/>
  <c r="B18" i="119"/>
  <c r="B15" i="119"/>
  <c r="B22" i="119"/>
  <c r="B23" i="119"/>
  <c r="B24" i="119"/>
  <c r="B25" i="119"/>
  <c r="B26" i="119"/>
  <c r="B27" i="119"/>
  <c r="B28" i="119"/>
  <c r="K5" i="119"/>
  <c r="K4" i="119"/>
  <c r="K3" i="119"/>
  <c r="F23" i="119"/>
  <c r="F22" i="119"/>
  <c r="Y1" i="126"/>
  <c r="AF62" i="126"/>
  <c r="AF74" i="126"/>
  <c r="AF63" i="126"/>
  <c r="AF14" i="126"/>
  <c r="AF18" i="126"/>
  <c r="AF13" i="126"/>
  <c r="AF51" i="126"/>
  <c r="AF21" i="126"/>
  <c r="AF28" i="126"/>
  <c r="AF15" i="126"/>
  <c r="AF29" i="126"/>
  <c r="AF33" i="126"/>
  <c r="AF36" i="126"/>
  <c r="AE62" i="126"/>
  <c r="AE74" i="126"/>
  <c r="AE63" i="126"/>
  <c r="AE14" i="126"/>
  <c r="AE18" i="126"/>
  <c r="AE13" i="126"/>
  <c r="AE51" i="126"/>
  <c r="AE21" i="126"/>
  <c r="AE28" i="126"/>
  <c r="AE15" i="126"/>
  <c r="AE29" i="126"/>
  <c r="AE33" i="126"/>
  <c r="AE36" i="126"/>
  <c r="AD74" i="126"/>
  <c r="AD63" i="126"/>
  <c r="AD14" i="126"/>
  <c r="AD18" i="126"/>
  <c r="AD13" i="126"/>
  <c r="AD51" i="126"/>
  <c r="AD21" i="126"/>
  <c r="AD28" i="126"/>
  <c r="AD15" i="126"/>
  <c r="AD29" i="126"/>
  <c r="AD33" i="126"/>
  <c r="AD36" i="126"/>
  <c r="AC74" i="126"/>
  <c r="AC63" i="126"/>
  <c r="AC14" i="126"/>
  <c r="AC18" i="126"/>
  <c r="AC13" i="126"/>
  <c r="AC51" i="126"/>
  <c r="AC21" i="126"/>
  <c r="AC28" i="126"/>
  <c r="AC15" i="126"/>
  <c r="AC29" i="126"/>
  <c r="AC33" i="126"/>
  <c r="AC36" i="126"/>
  <c r="AB74" i="126"/>
  <c r="AB63" i="126"/>
  <c r="AB14" i="126"/>
  <c r="AB18" i="126"/>
  <c r="AB13" i="126"/>
  <c r="AB51" i="126"/>
  <c r="AB21" i="126"/>
  <c r="AB28" i="126"/>
  <c r="AB15" i="126"/>
  <c r="AB29" i="126"/>
  <c r="AB33" i="126"/>
  <c r="AB36" i="126"/>
  <c r="AA74" i="126"/>
  <c r="AA63" i="126"/>
  <c r="AA14" i="126"/>
  <c r="AA18" i="126"/>
  <c r="AA13" i="126"/>
  <c r="AA51" i="126"/>
  <c r="AA21" i="126"/>
  <c r="AA28" i="126"/>
  <c r="AA15" i="126"/>
  <c r="AA29" i="126"/>
  <c r="AA33" i="126"/>
  <c r="AA36" i="126"/>
  <c r="Z74" i="126"/>
  <c r="Z63" i="126"/>
  <c r="Z14" i="126"/>
  <c r="Z18" i="126"/>
  <c r="Z13" i="126"/>
  <c r="Z51" i="126"/>
  <c r="Z21" i="126"/>
  <c r="Z28" i="126"/>
  <c r="Z15" i="126"/>
  <c r="Z29" i="126"/>
  <c r="Z33" i="126"/>
  <c r="Z36" i="126"/>
  <c r="Y74" i="126"/>
  <c r="Y63" i="126"/>
  <c r="Y14" i="126"/>
  <c r="Y18" i="126"/>
  <c r="Y13" i="126"/>
  <c r="Y51" i="126"/>
  <c r="Y21" i="126"/>
  <c r="Y28" i="126"/>
  <c r="Y15" i="126"/>
  <c r="Y29" i="126"/>
  <c r="Y33" i="126"/>
  <c r="Y36" i="126"/>
  <c r="X74" i="126"/>
  <c r="X63" i="126"/>
  <c r="X14" i="126"/>
  <c r="X18" i="126"/>
  <c r="X13" i="126"/>
  <c r="X51" i="126"/>
  <c r="X21" i="126"/>
  <c r="X28" i="126"/>
  <c r="X15" i="126"/>
  <c r="X29" i="126"/>
  <c r="X33" i="126"/>
  <c r="X36" i="126"/>
  <c r="W74" i="126"/>
  <c r="W63" i="126"/>
  <c r="W14" i="126"/>
  <c r="W18" i="126"/>
  <c r="W13" i="126"/>
  <c r="W51" i="126"/>
  <c r="W21" i="126"/>
  <c r="W28" i="126"/>
  <c r="W15" i="126"/>
  <c r="W29" i="126"/>
  <c r="W33" i="126"/>
  <c r="W36" i="126"/>
  <c r="V74" i="126"/>
  <c r="V63" i="126"/>
  <c r="V14" i="126"/>
  <c r="V18" i="126"/>
  <c r="V13" i="126"/>
  <c r="V51" i="126"/>
  <c r="V21" i="126"/>
  <c r="V28" i="126"/>
  <c r="V15" i="126"/>
  <c r="V29" i="126"/>
  <c r="V33" i="126"/>
  <c r="V36" i="126"/>
  <c r="U74" i="126"/>
  <c r="U63" i="126"/>
  <c r="U14" i="126"/>
  <c r="U18" i="126"/>
  <c r="U13" i="126"/>
  <c r="U51" i="126"/>
  <c r="U21" i="126"/>
  <c r="U28" i="126"/>
  <c r="U15" i="126"/>
  <c r="U29" i="126"/>
  <c r="U33" i="126"/>
  <c r="U36" i="126"/>
  <c r="R62" i="126"/>
  <c r="T62" i="126" s="1"/>
  <c r="R74" i="126"/>
  <c r="T74" i="126" s="1"/>
  <c r="R63" i="126"/>
  <c r="T63" i="126" s="1"/>
  <c r="R14" i="126"/>
  <c r="T14" i="126" s="1"/>
  <c r="R13" i="126"/>
  <c r="T13" i="126" s="1"/>
  <c r="R51" i="126"/>
  <c r="T51" i="126" s="1"/>
  <c r="R21" i="126"/>
  <c r="T21" i="126" s="1"/>
  <c r="R28" i="126"/>
  <c r="T28" i="126" s="1"/>
  <c r="R15" i="126"/>
  <c r="T15" i="126" s="1"/>
  <c r="R29" i="126"/>
  <c r="T29" i="126" s="1"/>
  <c r="R36" i="126"/>
  <c r="T36" i="126" s="1"/>
  <c r="E79" i="126"/>
  <c r="X2" i="126" s="1"/>
  <c r="O5" i="126"/>
  <c r="X3" i="126"/>
  <c r="AD2" i="126"/>
  <c r="AE1" i="126"/>
  <c r="M5" i="121"/>
  <c r="M6" i="121" s="1"/>
  <c r="M7" i="121" s="1"/>
  <c r="M8" i="121" s="1"/>
  <c r="M9" i="121" s="1"/>
  <c r="M10" i="121" s="1"/>
  <c r="M11" i="121" s="1"/>
  <c r="M12" i="121" s="1"/>
  <c r="M13" i="121" s="1"/>
  <c r="M14" i="121" s="1"/>
  <c r="M15" i="121" s="1"/>
  <c r="M16" i="121" s="1"/>
  <c r="M17" i="121" s="1"/>
  <c r="M18" i="121" s="1"/>
  <c r="M19" i="121" s="1"/>
  <c r="M20" i="121" s="1"/>
  <c r="M21" i="121" s="1"/>
  <c r="M22" i="121" s="1"/>
  <c r="X12" i="121" l="1"/>
  <c r="X22" i="121"/>
  <c r="X32" i="121"/>
  <c r="X7" i="121"/>
  <c r="X17" i="121"/>
  <c r="X27" i="121"/>
  <c r="AF49" i="126"/>
  <c r="X49" i="126"/>
  <c r="AA47" i="126"/>
  <c r="AE49" i="126"/>
  <c r="W49" i="126"/>
  <c r="AB46" i="126"/>
  <c r="AD49" i="126"/>
  <c r="AA46" i="126"/>
  <c r="AC49" i="126"/>
  <c r="Z46" i="126"/>
  <c r="AA43" i="126"/>
  <c r="AB49" i="126"/>
  <c r="Y46" i="126"/>
  <c r="AF46" i="126"/>
  <c r="AR44" i="126"/>
  <c r="Z47" i="126"/>
  <c r="Z43" i="126"/>
  <c r="Y43" i="126"/>
  <c r="AF47" i="126"/>
  <c r="AF43" i="126"/>
  <c r="X43" i="126"/>
  <c r="AE47" i="126"/>
  <c r="AE43" i="126"/>
  <c r="W43" i="126"/>
  <c r="AD47" i="126"/>
  <c r="AD43" i="126"/>
  <c r="V43" i="126"/>
  <c r="AC47" i="126"/>
  <c r="AC43" i="126"/>
  <c r="U43" i="126"/>
  <c r="AR12" i="126"/>
  <c r="AB12" i="126"/>
  <c r="Z12" i="126"/>
  <c r="X12" i="126"/>
  <c r="AA12" i="126"/>
  <c r="AF12" i="126"/>
  <c r="W12" i="126"/>
  <c r="AE12" i="126"/>
  <c r="V12" i="126"/>
  <c r="AD12" i="126"/>
  <c r="U12" i="126"/>
  <c r="AC12" i="126"/>
  <c r="R12" i="126"/>
  <c r="T12" i="126" s="1"/>
  <c r="AR49" i="126"/>
  <c r="AR26" i="126"/>
  <c r="AR39" i="126"/>
  <c r="AR65" i="126"/>
  <c r="AR45" i="126"/>
  <c r="AR34" i="126"/>
  <c r="AR24" i="126"/>
  <c r="AR78" i="126"/>
  <c r="AR32" i="126"/>
  <c r="AR27" i="126"/>
  <c r="AR58" i="126"/>
  <c r="AR61" i="126"/>
  <c r="AR31" i="126"/>
  <c r="AR57" i="126"/>
  <c r="AR72" i="126"/>
  <c r="AR40" i="126"/>
  <c r="AR69" i="126"/>
  <c r="AR53" i="126"/>
  <c r="AR70" i="126"/>
  <c r="AR59" i="126"/>
  <c r="AR66" i="126"/>
  <c r="AR17" i="126"/>
  <c r="AR68" i="126"/>
  <c r="AR47" i="126"/>
  <c r="AR64" i="126"/>
  <c r="AR16" i="126"/>
  <c r="AR75" i="126"/>
  <c r="AR37" i="126"/>
  <c r="AR30" i="126"/>
  <c r="AR55" i="126"/>
  <c r="AR38" i="126"/>
  <c r="AR67" i="126"/>
  <c r="AR43" i="126"/>
  <c r="AR20" i="126"/>
  <c r="AR25" i="126"/>
  <c r="AR46" i="126"/>
  <c r="AR77" i="126"/>
  <c r="AR60" i="126"/>
  <c r="AR50" i="126"/>
  <c r="AR41" i="126"/>
  <c r="AR23" i="126"/>
  <c r="AR71" i="126"/>
  <c r="AR22" i="126"/>
  <c r="M10" i="126"/>
  <c r="AR35" i="126"/>
  <c r="AR19" i="126"/>
  <c r="AR76" i="126"/>
  <c r="AR51" i="126"/>
  <c r="K10" i="126"/>
  <c r="U62" i="126"/>
  <c r="AR14" i="126"/>
  <c r="R33" i="126"/>
  <c r="T33" i="126" s="1"/>
  <c r="R18" i="126"/>
  <c r="T18" i="126" s="1"/>
  <c r="AR74" i="126"/>
  <c r="AR63" i="126"/>
  <c r="AR62" i="126"/>
  <c r="AR29" i="126"/>
  <c r="AR13" i="126"/>
  <c r="AR36" i="126"/>
  <c r="AR21" i="126"/>
  <c r="AR28" i="126"/>
  <c r="AR48" i="126"/>
  <c r="AR18" i="126"/>
  <c r="AR15" i="126"/>
  <c r="AR33" i="126"/>
  <c r="B29" i="119"/>
  <c r="C23" i="119" s="1"/>
  <c r="M23" i="121"/>
  <c r="M24" i="121" s="1"/>
  <c r="M25" i="121" s="1"/>
  <c r="M26" i="121" s="1"/>
  <c r="M27" i="121" s="1"/>
  <c r="M28" i="121" s="1"/>
  <c r="M29" i="121" s="1"/>
  <c r="M30" i="121" s="1"/>
  <c r="M31" i="121" s="1"/>
  <c r="M32" i="121" s="1"/>
  <c r="M33" i="121" s="1"/>
  <c r="C27" i="119" l="1"/>
  <c r="C24" i="119"/>
  <c r="C28" i="119"/>
  <c r="C26" i="119"/>
  <c r="V2" i="121"/>
  <c r="W2" i="121"/>
  <c r="B10" i="119"/>
  <c r="B11" i="119"/>
  <c r="B12" i="119"/>
  <c r="B9" i="119"/>
  <c r="C25" i="119"/>
  <c r="E3" i="119"/>
  <c r="C17" i="119"/>
  <c r="C18" i="119"/>
  <c r="E4" i="119"/>
  <c r="E2" i="119"/>
  <c r="C15" i="119"/>
  <c r="C16" i="119"/>
  <c r="C22" i="119"/>
  <c r="G22" i="119"/>
  <c r="G23" i="119"/>
  <c r="G8" i="121" l="1"/>
  <c r="G7" i="121"/>
  <c r="H7" i="121" l="1"/>
  <c r="H8" i="121"/>
  <c r="B13" i="119" l="1"/>
  <c r="C10" i="119" s="1"/>
  <c r="C12" i="119" l="1"/>
  <c r="C9" i="119"/>
  <c r="C11" i="119"/>
</calcChain>
</file>

<file path=xl/sharedStrings.xml><?xml version="1.0" encoding="utf-8"?>
<sst xmlns="http://schemas.openxmlformats.org/spreadsheetml/2006/main" count="783" uniqueCount="241">
  <si>
    <t>Estratégico</t>
  </si>
  <si>
    <t>KPI definidos (nível tático-operacional)</t>
  </si>
  <si>
    <t>Operacional</t>
  </si>
  <si>
    <t>KPI 1</t>
  </si>
  <si>
    <t>Captura de Receita Ponto Ecoa (35MM)</t>
  </si>
  <si>
    <t>KPI 2</t>
  </si>
  <si>
    <t>Captura de Receita Energia Verde  (60MM)</t>
  </si>
  <si>
    <t>KPI 3</t>
  </si>
  <si>
    <t>Aumento de base de usuário</t>
  </si>
  <si>
    <t>KPI 4</t>
  </si>
  <si>
    <t>Ganho de Eficiência no Fluxo operacional</t>
  </si>
  <si>
    <t>KPI 5</t>
  </si>
  <si>
    <t>Frequencia e Relevancia no clientes</t>
  </si>
  <si>
    <t>Eixos Estratégicos</t>
  </si>
  <si>
    <t>PESOS</t>
  </si>
  <si>
    <t>KPI</t>
  </si>
  <si>
    <t>SCORE2</t>
  </si>
  <si>
    <t>ID</t>
  </si>
  <si>
    <t>u</t>
  </si>
  <si>
    <t>Ciclo</t>
  </si>
  <si>
    <t>INICIATIVAS PORTFÓLIO 2026</t>
  </si>
  <si>
    <t>Portfólio</t>
  </si>
  <si>
    <t>Classific.</t>
  </si>
  <si>
    <t>Onde Estamos</t>
  </si>
  <si>
    <t>Área</t>
  </si>
  <si>
    <t>Owner</t>
  </si>
  <si>
    <t>CAPEX</t>
  </si>
  <si>
    <t>R$ Capex</t>
  </si>
  <si>
    <t>OPEX</t>
  </si>
  <si>
    <t>R$ OPEX</t>
  </si>
  <si>
    <t>SPRINT</t>
  </si>
  <si>
    <t>Dt. INÍCIO</t>
  </si>
  <si>
    <t>TÉRMINO</t>
  </si>
  <si>
    <t>%Prev.</t>
  </si>
  <si>
    <t>%Real</t>
  </si>
  <si>
    <t>Stat</t>
  </si>
  <si>
    <t>1
 m</t>
  </si>
  <si>
    <t>2
 m2</t>
  </si>
  <si>
    <t>3
 m3</t>
  </si>
  <si>
    <t>4
 m4</t>
  </si>
  <si>
    <t>5
 m5</t>
  </si>
  <si>
    <t>6
 m6</t>
  </si>
  <si>
    <t>7
 m7</t>
  </si>
  <si>
    <t>8
 m</t>
  </si>
  <si>
    <t>9
 m</t>
  </si>
  <si>
    <t>10
 m</t>
  </si>
  <si>
    <t>11
 m</t>
  </si>
  <si>
    <t>12
 m</t>
  </si>
  <si>
    <t>Risco</t>
  </si>
  <si>
    <t>Encantar os Clientes</t>
  </si>
  <si>
    <t>Alta Rentabilidade</t>
  </si>
  <si>
    <t>Capital com Foco</t>
  </si>
  <si>
    <t>SCORE</t>
  </si>
  <si>
    <t>K1</t>
  </si>
  <si>
    <t>K2</t>
  </si>
  <si>
    <t>K3</t>
  </si>
  <si>
    <t>K4</t>
  </si>
  <si>
    <t>K5</t>
  </si>
  <si>
    <t>Relev.</t>
  </si>
  <si>
    <t>Score Geral</t>
  </si>
  <si>
    <t>QM</t>
  </si>
  <si>
    <t>Detalhe do Risco</t>
  </si>
  <si>
    <t>BBPR01</t>
  </si>
  <si>
    <t>Automatização de processo de cobrança via wats</t>
  </si>
  <si>
    <t>BBF</t>
  </si>
  <si>
    <t>Projeto</t>
  </si>
  <si>
    <t>Tecnologia</t>
  </si>
  <si>
    <t>Fabiano</t>
  </si>
  <si>
    <t>BBDI02</t>
  </si>
  <si>
    <t>Automatizar todos os processos que estão em planilhas</t>
  </si>
  <si>
    <t>Discussão</t>
  </si>
  <si>
    <t>BBPR03</t>
  </si>
  <si>
    <t>Centralização de dados de todas as areas e sistemas(Data lake)</t>
  </si>
  <si>
    <t>EVDE04</t>
  </si>
  <si>
    <t>Comunidades em camadas</t>
  </si>
  <si>
    <t>Evolução</t>
  </si>
  <si>
    <t>Demanda</t>
  </si>
  <si>
    <t>BBDE05</t>
  </si>
  <si>
    <t>Criar alertas para monitorar a operação</t>
  </si>
  <si>
    <t>EVPR06</t>
  </si>
  <si>
    <t>Criar anúncios mensurando carbono no app</t>
  </si>
  <si>
    <t>EVPR07</t>
  </si>
  <si>
    <t>Criar dataset utilizando nosso data lake para marchine learning (própria)</t>
  </si>
  <si>
    <t>BBDE08</t>
  </si>
  <si>
    <t>Criar news letter</t>
  </si>
  <si>
    <t>EVDE10</t>
  </si>
  <si>
    <t>Criar novas dinâmicas de transferência de pontos pelo parceiro (CPF no PDV, leitura de cupom fiscal, entre outros)</t>
  </si>
  <si>
    <t>EVPR11</t>
  </si>
  <si>
    <t>Evoluir a Integração bancária de gateway de pagamento cont de luz</t>
  </si>
  <si>
    <t>EVPR12</t>
  </si>
  <si>
    <t>Geração de pontos rastreados Blockchain</t>
  </si>
  <si>
    <t>EVDE13</t>
  </si>
  <si>
    <t>Gerar receita marktplace NFTs</t>
  </si>
  <si>
    <t>EVDE14</t>
  </si>
  <si>
    <t>Identidade digitais na plataforma</t>
  </si>
  <si>
    <t>BBPR15</t>
  </si>
  <si>
    <t>Implantar Boot com IA atendimento integrado com BETA</t>
  </si>
  <si>
    <t>EVPR16</t>
  </si>
  <si>
    <t>Implementar Pesquisa de clientes dentro app</t>
  </si>
  <si>
    <t>EVDI17</t>
  </si>
  <si>
    <t xml:space="preserve">Implementar Soul bank </t>
  </si>
  <si>
    <t>EVPR18</t>
  </si>
  <si>
    <t>Integração byte dance</t>
  </si>
  <si>
    <t>BBDE19</t>
  </si>
  <si>
    <t>Integração Deezer</t>
  </si>
  <si>
    <t>BBDE20</t>
  </si>
  <si>
    <t>Integrar sistemas externos com Beta</t>
  </si>
  <si>
    <t>EVPR21</t>
  </si>
  <si>
    <t>Melhorar a usabilidade do programa de pontos no app Soul e plataforma de Vales</t>
  </si>
  <si>
    <t>BBPR22</t>
  </si>
  <si>
    <t>Sistema integrado COMPLETO dos pontos ecoa/vales energia (estoque/comercial/faturamento/financeiro/contabil)</t>
  </si>
  <si>
    <t>BBPR23</t>
  </si>
  <si>
    <t>Soul bussiness + compra de pontos via web</t>
  </si>
  <si>
    <t>EVPR24</t>
  </si>
  <si>
    <t>Taguear o App</t>
  </si>
  <si>
    <t>EVDI25</t>
  </si>
  <si>
    <t>Ter um painel de visibilidade do fluxo do processo jurídico</t>
  </si>
  <si>
    <t>EVPR26</t>
  </si>
  <si>
    <t>Transferencia de pontos via wallet</t>
  </si>
  <si>
    <t>EVDI55</t>
  </si>
  <si>
    <t>Unificar o pagamento da conta de luz dos clientes com a fatura da energia verde, com pontos ecoa.</t>
  </si>
  <si>
    <t>EVPR27</t>
  </si>
  <si>
    <t>Validação financeira em IA para orçamento</t>
  </si>
  <si>
    <t>EVID28</t>
  </si>
  <si>
    <t>Criar integração com jogos e missões diárias no App</t>
  </si>
  <si>
    <t>Ideia</t>
  </si>
  <si>
    <t>Produtos</t>
  </si>
  <si>
    <t>Camila</t>
  </si>
  <si>
    <t>EVDI29</t>
  </si>
  <si>
    <t>Criar jornada de coalizão entre os produtos: EV, Pontos Ecoa e Soul Up</t>
  </si>
  <si>
    <t>EVID30</t>
  </si>
  <si>
    <t>Criar novas linhas de receita (compra de pontos, assinatura mensal)</t>
  </si>
  <si>
    <t>BBID32</t>
  </si>
  <si>
    <t>Bugdet de marketing anual para ações e campanhas</t>
  </si>
  <si>
    <t>Marketing</t>
  </si>
  <si>
    <t xml:space="preserve">Maria </t>
  </si>
  <si>
    <t>BBDI31</t>
  </si>
  <si>
    <t>Contratar Buzz Monitor, Adobe, Canva, CapCut</t>
  </si>
  <si>
    <t>Maria</t>
  </si>
  <si>
    <t>BBDI33</t>
  </si>
  <si>
    <t>Criar gestão a vista das campanhas e frentes estratégicas da área de Marketing</t>
  </si>
  <si>
    <t>BBDE34</t>
  </si>
  <si>
    <t>Criar segmentação de base de clientes por região (Beta e Mongage)</t>
  </si>
  <si>
    <t>BBID36</t>
  </si>
  <si>
    <t>Embaixador da marca Energia Verde</t>
  </si>
  <si>
    <t>BBID38</t>
  </si>
  <si>
    <t>Investimento em patrocínios e TV aberta</t>
  </si>
  <si>
    <t>BBID35</t>
  </si>
  <si>
    <t>Investir em trade marketing e ativação de marca em feira/eventos</t>
  </si>
  <si>
    <t>BBDI37</t>
  </si>
  <si>
    <t>Participar de eventos/feiras</t>
  </si>
  <si>
    <t>BBDI39</t>
  </si>
  <si>
    <t>Restruturar todos os canais digitais de cada produto</t>
  </si>
  <si>
    <t>BBDI47</t>
  </si>
  <si>
    <t>Ajustar o processo de iniciativas, planejamento, melhorias e entrega de demandas ponderado pelos Drivers Estratégicos</t>
  </si>
  <si>
    <t>Governança Corp</t>
  </si>
  <si>
    <t>Elisangela</t>
  </si>
  <si>
    <t>Frame Work ESG</t>
  </si>
  <si>
    <t>EVID50</t>
  </si>
  <si>
    <t>Gestão a vista: Montar um dash com uma visão dos drivers e projetos para todos acompanharem</t>
  </si>
  <si>
    <t>Mapeamento de processo(Cliente-PDv-Parceiro)</t>
  </si>
  <si>
    <t>EVDI51</t>
  </si>
  <si>
    <t>Obter uma ferramenta de intranet  com repositório das políticas e processo, visão pessoal (areas, funcionários)</t>
  </si>
  <si>
    <t>Programa de excelência operacional + Bonificação</t>
  </si>
  <si>
    <t>BBDI44</t>
  </si>
  <si>
    <t>Criar e implementar trilhas de capacitação dos colaboradores com foco nos produtos</t>
  </si>
  <si>
    <t>Gente &amp; Cultura</t>
  </si>
  <si>
    <t>Jéssica</t>
  </si>
  <si>
    <t>EVID43</t>
  </si>
  <si>
    <t>Criar o dia da prosperidade - Trabalho comunitário (melhora visibilidade) - todo dia 01/10</t>
  </si>
  <si>
    <t>Jessica</t>
  </si>
  <si>
    <t>BBID49</t>
  </si>
  <si>
    <t xml:space="preserve">Criar plano de carreira e desenvolvimento </t>
  </si>
  <si>
    <t>BBID46</t>
  </si>
  <si>
    <t>Implantar politica de one a one de avaliação</t>
  </si>
  <si>
    <t>EVID45</t>
  </si>
  <si>
    <t>Implementar a cultura de Cross areas</t>
  </si>
  <si>
    <t>EVID48</t>
  </si>
  <si>
    <t xml:space="preserve">Revisar a política e os benefícios para colaboradores </t>
  </si>
  <si>
    <t>EVDE40</t>
  </si>
  <si>
    <t>Criar gestão a vista da Estratégia da Prospera para os acionistas e investidores</t>
  </si>
  <si>
    <t>Financeira</t>
  </si>
  <si>
    <t>Roberto</t>
  </si>
  <si>
    <t>BBDI53</t>
  </si>
  <si>
    <t>Desenvolver o relatório de conciliação financeira por usina</t>
  </si>
  <si>
    <t>EVID42</t>
  </si>
  <si>
    <t>Desenvolver um  módulo de DRE por cliente</t>
  </si>
  <si>
    <t>BBDI41</t>
  </si>
  <si>
    <t>Focar no plano de captação financeira para Prospera</t>
  </si>
  <si>
    <t>EVPR54</t>
  </si>
  <si>
    <t>Implementar sistema de cobrança</t>
  </si>
  <si>
    <t>Marcelo</t>
  </si>
  <si>
    <t>EVID59</t>
  </si>
  <si>
    <t>Aumentar a quantidade de RCA´s para trazer mais capilaridade às vendas</t>
  </si>
  <si>
    <t>Comercial</t>
  </si>
  <si>
    <t>Fabio</t>
  </si>
  <si>
    <t>BBID60</t>
  </si>
  <si>
    <t>Aumento da força de venda inside sales</t>
  </si>
  <si>
    <t>Bruno</t>
  </si>
  <si>
    <t>EVDE57</t>
  </si>
  <si>
    <t>Buscar cliente de forma ativa através de CS</t>
  </si>
  <si>
    <t>EVID52</t>
  </si>
  <si>
    <t>Contratar um recurso comercial para fazer gestão das contas de loyalty</t>
  </si>
  <si>
    <t>EVID62</t>
  </si>
  <si>
    <t>Criar departamento de canais - criar canais de venda de anúncios (Soul Up)</t>
  </si>
  <si>
    <t>EVID09</t>
  </si>
  <si>
    <t>Criar parcerias com varejistas / distribuidor / fornecedor</t>
  </si>
  <si>
    <t>BBDI61</t>
  </si>
  <si>
    <t>Criar time de retenção</t>
  </si>
  <si>
    <t>BBDI64</t>
  </si>
  <si>
    <t>Definir a estratégia de atendimento por tipo de produto : ter um fluxo de canal de pontos de contato do cliente (Pontos Ecoa, Soul up e Energia Verde) publicados</t>
  </si>
  <si>
    <t>EVPR56</t>
  </si>
  <si>
    <t xml:space="preserve">Garantir que grandes contratos ajudem na comercialização de energia verda </t>
  </si>
  <si>
    <t>BBDI58</t>
  </si>
  <si>
    <t xml:space="preserve">Melhorar atendimento no pós venda </t>
  </si>
  <si>
    <t>BBDE63</t>
  </si>
  <si>
    <t>Performar os contratos B2B Enterprise</t>
  </si>
  <si>
    <t>#</t>
  </si>
  <si>
    <t>Iniciativas</t>
  </si>
  <si>
    <t>Score</t>
  </si>
  <si>
    <t>Status</t>
  </si>
  <si>
    <t>Quadrante</t>
  </si>
  <si>
    <t>TOTAL POR FAIXA</t>
  </si>
  <si>
    <t>Q1</t>
  </si>
  <si>
    <t>L</t>
  </si>
  <si>
    <t>I</t>
  </si>
  <si>
    <t>Q3</t>
  </si>
  <si>
    <t>O</t>
  </si>
  <si>
    <t>M</t>
  </si>
  <si>
    <t>Performar os contratos B2B Interpreise</t>
  </si>
  <si>
    <t>Q2</t>
  </si>
  <si>
    <r>
      <t xml:space="preserve">desvio negativo e </t>
    </r>
    <r>
      <rPr>
        <b/>
        <i/>
        <sz val="9"/>
        <color rgb="FFFFFFFF"/>
        <rFont val="Calibri"/>
        <family val="2"/>
        <scheme val="minor"/>
      </rPr>
      <t>9%</t>
    </r>
  </si>
  <si>
    <t>Estratégia</t>
  </si>
  <si>
    <t>CAPEX - Faixa de Valores</t>
  </si>
  <si>
    <t>OPEX - Faixa de Valores</t>
  </si>
  <si>
    <t>P1</t>
  </si>
  <si>
    <t>P2</t>
  </si>
  <si>
    <t>Alta Rantabilidade</t>
  </si>
  <si>
    <t>P3</t>
  </si>
  <si>
    <t>Q4</t>
  </si>
  <si>
    <t>Classificação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</si>
</sst>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-&quot;R$&quot;\ * #,##0_-;\-&quot;R$&quot;\ * #,##0_-;_-&quot;R$&quot;\ * &quot;-&quot;??_-;_-@_-"/>
    <numFmt numFmtId="168" formatCode="#,##0_ ;\-#,##0\ "/>
    <numFmt numFmtId="169" formatCode="_-* #,##0_-;\-* #,##0_-;_-* &quot;-&quot;??_-;_-@_-"/>
    <numFmt numFmtId="170" formatCode="0.0%"/>
    <numFmt numFmtId="171" formatCode="dd/mm/yy;@"/>
    <numFmt numFmtId="172" formatCode="_(* #,##0_);_(* \(#,##0\);_(* &quot;-&quot;??_);_(@_)"/>
    <numFmt numFmtId="173" formatCode="_(&quot;R$&quot;* #,##0_);_(&quot;R$&quot;* \(#,##0\);_(&quot;R$&quot;* &quot;-&quot;??_);_(@_)"/>
  </numFmts>
  <fonts count="2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theme="3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C000"/>
      <name val="Wingdings"/>
      <charset val="2"/>
    </font>
    <font>
      <b/>
      <sz val="14"/>
      <color rgb="FFFFC000"/>
      <name val="Wingdings"/>
      <charset val="2"/>
    </font>
    <font>
      <b/>
      <sz val="12"/>
      <color theme="0"/>
      <name val="Wingdings"/>
      <charset val="2"/>
    </font>
    <font>
      <i/>
      <sz val="9"/>
      <color rgb="FFFFFFFF"/>
      <name val="Calibri"/>
      <family val="2"/>
      <scheme val="minor"/>
    </font>
    <font>
      <b/>
      <i/>
      <sz val="9"/>
      <color rgb="FFFFFFFF"/>
      <name val="Calibri"/>
      <family val="2"/>
      <scheme val="minor"/>
    </font>
    <font>
      <b/>
      <sz val="14"/>
      <color rgb="FFFFFF00"/>
      <name val="Wingdings"/>
      <charset val="2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theme="4" tint="0.59999389629810485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6" tint="0.79998168889431442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0" fontId="5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19">
    <xf numFmtId="0" fontId="0" fillId="0" borderId="0" xfId="0"/>
    <xf numFmtId="167" fontId="2" fillId="0" borderId="0" xfId="1" applyNumberFormat="1" applyFont="1"/>
    <xf numFmtId="0" fontId="2" fillId="0" borderId="0" xfId="0" applyFont="1"/>
    <xf numFmtId="169" fontId="2" fillId="0" borderId="0" xfId="5" applyNumberFormat="1" applyFont="1"/>
    <xf numFmtId="9" fontId="0" fillId="0" borderId="0" xfId="6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70" fontId="0" fillId="0" borderId="0" xfId="6" applyNumberFormat="1" applyFont="1"/>
    <xf numFmtId="0" fontId="1" fillId="2" borderId="13" xfId="0" applyFont="1" applyFill="1" applyBorder="1" applyAlignment="1">
      <alignment vertical="top"/>
    </xf>
    <xf numFmtId="49" fontId="10" fillId="8" borderId="2" xfId="0" applyNumberFormat="1" applyFont="1" applyFill="1" applyBorder="1" applyAlignment="1">
      <alignment horizontal="center" vertical="center" wrapText="1"/>
    </xf>
    <xf numFmtId="49" fontId="10" fillId="2" borderId="2" xfId="0" applyNumberFormat="1" applyFont="1" applyFill="1" applyBorder="1" applyAlignment="1">
      <alignment horizontal="center" vertical="top" wrapText="1"/>
    </xf>
    <xf numFmtId="169" fontId="2" fillId="0" borderId="0" xfId="5" applyNumberFormat="1" applyFont="1" applyProtection="1"/>
    <xf numFmtId="49" fontId="2" fillId="0" borderId="0" xfId="0" applyNumberFormat="1" applyFont="1"/>
    <xf numFmtId="168" fontId="6" fillId="0" borderId="2" xfId="0" applyNumberFormat="1" applyFont="1" applyBorder="1" applyAlignment="1">
      <alignment horizontal="center"/>
    </xf>
    <xf numFmtId="0" fontId="1" fillId="8" borderId="9" xfId="0" applyFont="1" applyFill="1" applyBorder="1"/>
    <xf numFmtId="49" fontId="10" fillId="2" borderId="11" xfId="0" applyNumberFormat="1" applyFont="1" applyFill="1" applyBorder="1" applyAlignment="1">
      <alignment horizontal="center" vertical="top" wrapText="1"/>
    </xf>
    <xf numFmtId="170" fontId="2" fillId="0" borderId="0" xfId="6" applyNumberFormat="1" applyFont="1"/>
    <xf numFmtId="168" fontId="7" fillId="5" borderId="0" xfId="0" applyNumberFormat="1" applyFont="1" applyFill="1" applyAlignment="1" applyProtection="1">
      <alignment horizontal="center" vertical="center"/>
      <protection locked="0"/>
    </xf>
    <xf numFmtId="168" fontId="7" fillId="4" borderId="6" xfId="0" applyNumberFormat="1" applyFont="1" applyFill="1" applyBorder="1" applyAlignment="1">
      <alignment horizontal="center" vertical="center"/>
    </xf>
    <xf numFmtId="168" fontId="7" fillId="9" borderId="4" xfId="0" applyNumberFormat="1" applyFont="1" applyFill="1" applyBorder="1" applyAlignment="1" applyProtection="1">
      <alignment horizontal="center" vertical="center"/>
      <protection locked="0"/>
    </xf>
    <xf numFmtId="168" fontId="7" fillId="9" borderId="0" xfId="0" applyNumberFormat="1" applyFont="1" applyFill="1" applyAlignment="1" applyProtection="1">
      <alignment horizontal="center" vertical="center"/>
      <protection locked="0"/>
    </xf>
    <xf numFmtId="0" fontId="11" fillId="8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9" borderId="14" xfId="0" applyFill="1" applyBorder="1" applyAlignment="1">
      <alignment vertical="center"/>
    </xf>
    <xf numFmtId="0" fontId="12" fillId="11" borderId="14" xfId="0" applyFont="1" applyFill="1" applyBorder="1" applyAlignment="1">
      <alignment horizontal="center" vertical="center"/>
    </xf>
    <xf numFmtId="0" fontId="0" fillId="10" borderId="14" xfId="0" applyFill="1" applyBorder="1" applyAlignment="1">
      <alignment vertical="center"/>
    </xf>
    <xf numFmtId="0" fontId="12" fillId="12" borderId="14" xfId="0" applyFont="1" applyFill="1" applyBorder="1" applyAlignment="1">
      <alignment horizontal="center" vertical="center"/>
    </xf>
    <xf numFmtId="168" fontId="7" fillId="0" borderId="0" xfId="0" applyNumberFormat="1" applyFont="1" applyAlignment="1">
      <alignment horizontal="center"/>
    </xf>
    <xf numFmtId="14" fontId="0" fillId="0" borderId="0" xfId="0" applyNumberFormat="1"/>
    <xf numFmtId="172" fontId="0" fillId="0" borderId="0" xfId="5" applyNumberFormat="1" applyFont="1"/>
    <xf numFmtId="0" fontId="15" fillId="0" borderId="0" xfId="0" applyFont="1" applyAlignment="1">
      <alignment horizontal="left" vertical="center"/>
    </xf>
    <xf numFmtId="9" fontId="0" fillId="0" borderId="10" xfId="6" applyFont="1" applyBorder="1"/>
    <xf numFmtId="168" fontId="6" fillId="0" borderId="10" xfId="0" applyNumberFormat="1" applyFont="1" applyBorder="1" applyAlignment="1">
      <alignment horizontal="center"/>
    </xf>
    <xf numFmtId="0" fontId="1" fillId="2" borderId="23" xfId="0" applyFont="1" applyFill="1" applyBorder="1" applyAlignment="1">
      <alignment vertical="top"/>
    </xf>
    <xf numFmtId="167" fontId="1" fillId="2" borderId="12" xfId="1" applyNumberFormat="1" applyFont="1" applyFill="1" applyBorder="1" applyAlignment="1" applyProtection="1">
      <alignment horizontal="left" textRotation="90" wrapText="1"/>
    </xf>
    <xf numFmtId="168" fontId="7" fillId="0" borderId="0" xfId="0" applyNumberFormat="1" applyFont="1" applyAlignment="1" applyProtection="1">
      <alignment horizontal="center" vertical="center"/>
      <protection locked="0"/>
    </xf>
    <xf numFmtId="0" fontId="0" fillId="10" borderId="14" xfId="0" quotePrefix="1" applyFill="1" applyBorder="1" applyAlignment="1">
      <alignment vertical="center"/>
    </xf>
    <xf numFmtId="0" fontId="0" fillId="0" borderId="0" xfId="0" applyAlignment="1">
      <alignment horizontal="left"/>
    </xf>
    <xf numFmtId="49" fontId="10" fillId="2" borderId="2" xfId="0" applyNumberFormat="1" applyFont="1" applyFill="1" applyBorder="1" applyAlignment="1">
      <alignment horizontal="left" vertical="center" wrapText="1"/>
    </xf>
    <xf numFmtId="168" fontId="7" fillId="0" borderId="0" xfId="0" applyNumberFormat="1" applyFont="1" applyAlignment="1" applyProtection="1">
      <alignment horizontal="left"/>
      <protection locked="0"/>
    </xf>
    <xf numFmtId="169" fontId="7" fillId="0" borderId="0" xfId="5" applyNumberFormat="1" applyFont="1" applyBorder="1" applyAlignment="1" applyProtection="1">
      <alignment horizontal="center"/>
    </xf>
    <xf numFmtId="169" fontId="7" fillId="0" borderId="10" xfId="5" applyNumberFormat="1" applyFont="1" applyBorder="1" applyAlignment="1" applyProtection="1">
      <alignment horizontal="center"/>
    </xf>
    <xf numFmtId="171" fontId="0" fillId="0" borderId="0" xfId="0" applyNumberFormat="1"/>
    <xf numFmtId="167" fontId="7" fillId="0" borderId="10" xfId="1" applyNumberFormat="1" applyFont="1" applyFill="1" applyBorder="1" applyAlignment="1" applyProtection="1">
      <alignment horizontal="center" vertical="center"/>
      <protection locked="0"/>
    </xf>
    <xf numFmtId="173" fontId="0" fillId="0" borderId="0" xfId="1" applyNumberFormat="1" applyFont="1"/>
    <xf numFmtId="9" fontId="0" fillId="0" borderId="21" xfId="6" applyFont="1" applyBorder="1"/>
    <xf numFmtId="0" fontId="1" fillId="13" borderId="0" xfId="0" applyFont="1" applyFill="1"/>
    <xf numFmtId="49" fontId="0" fillId="0" borderId="22" xfId="0" applyNumberFormat="1" applyBorder="1"/>
    <xf numFmtId="49" fontId="0" fillId="0" borderId="24" xfId="0" applyNumberFormat="1" applyBorder="1"/>
    <xf numFmtId="0" fontId="0" fillId="0" borderId="20" xfId="0" applyBorder="1"/>
    <xf numFmtId="0" fontId="0" fillId="14" borderId="14" xfId="0" applyFill="1" applyBorder="1" applyAlignment="1">
      <alignment vertical="center"/>
    </xf>
    <xf numFmtId="0" fontId="12" fillId="15" borderId="14" xfId="0" applyFont="1" applyFill="1" applyBorder="1" applyAlignment="1">
      <alignment horizontal="center" vertical="center"/>
    </xf>
    <xf numFmtId="169" fontId="7" fillId="18" borderId="14" xfId="5" applyNumberFormat="1" applyFont="1" applyFill="1" applyBorder="1" applyAlignment="1">
      <alignment horizontal="center" vertical="center"/>
    </xf>
    <xf numFmtId="164" fontId="14" fillId="9" borderId="14" xfId="0" applyNumberFormat="1" applyFont="1" applyFill="1" applyBorder="1" applyAlignment="1">
      <alignment horizontal="center" vertical="center"/>
    </xf>
    <xf numFmtId="169" fontId="7" fillId="17" borderId="14" xfId="5" applyNumberFormat="1" applyFont="1" applyFill="1" applyBorder="1" applyAlignment="1">
      <alignment horizontal="center" vertical="center"/>
    </xf>
    <xf numFmtId="164" fontId="14" fillId="10" borderId="14" xfId="0" applyNumberFormat="1" applyFont="1" applyFill="1" applyBorder="1" applyAlignment="1">
      <alignment horizontal="center" vertical="center"/>
    </xf>
    <xf numFmtId="169" fontId="7" fillId="16" borderId="14" xfId="5" applyNumberFormat="1" applyFont="1" applyFill="1" applyBorder="1" applyAlignment="1">
      <alignment horizontal="center" vertical="center"/>
    </xf>
    <xf numFmtId="164" fontId="14" fillId="14" borderId="14" xfId="0" applyNumberFormat="1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/>
    <xf numFmtId="0" fontId="2" fillId="2" borderId="29" xfId="0" applyFont="1" applyFill="1" applyBorder="1"/>
    <xf numFmtId="49" fontId="13" fillId="2" borderId="26" xfId="0" applyNumberFormat="1" applyFont="1" applyFill="1" applyBorder="1" applyAlignment="1">
      <alignment horizontal="left" vertical="center" wrapText="1"/>
    </xf>
    <xf numFmtId="0" fontId="2" fillId="2" borderId="29" xfId="0" applyFont="1" applyFill="1" applyBorder="1" applyAlignment="1">
      <alignment horizontal="left"/>
    </xf>
    <xf numFmtId="164" fontId="2" fillId="2" borderId="29" xfId="0" applyNumberFormat="1" applyFont="1" applyFill="1" applyBorder="1" applyAlignment="1">
      <alignment horizontal="left"/>
    </xf>
    <xf numFmtId="0" fontId="0" fillId="9" borderId="31" xfId="0" applyFill="1" applyBorder="1" applyAlignment="1">
      <alignment vertical="center"/>
    </xf>
    <xf numFmtId="0" fontId="0" fillId="9" borderId="32" xfId="0" applyFill="1" applyBorder="1" applyAlignment="1">
      <alignment vertical="center"/>
    </xf>
    <xf numFmtId="0" fontId="0" fillId="9" borderId="33" xfId="0" applyFill="1" applyBorder="1" applyAlignment="1">
      <alignment vertical="center"/>
    </xf>
    <xf numFmtId="0" fontId="12" fillId="11" borderId="33" xfId="0" applyFont="1" applyFill="1" applyBorder="1" applyAlignment="1">
      <alignment horizontal="center" vertical="center"/>
    </xf>
    <xf numFmtId="169" fontId="7" fillId="18" borderId="33" xfId="5" applyNumberFormat="1" applyFont="1" applyFill="1" applyBorder="1" applyAlignment="1">
      <alignment horizontal="center" vertical="center"/>
    </xf>
    <xf numFmtId="164" fontId="14" fillId="9" borderId="33" xfId="0" applyNumberFormat="1" applyFont="1" applyFill="1" applyBorder="1" applyAlignment="1">
      <alignment horizontal="center" vertical="center"/>
    </xf>
    <xf numFmtId="0" fontId="0" fillId="10" borderId="29" xfId="0" applyFill="1" applyBorder="1" applyAlignment="1">
      <alignment vertical="center"/>
    </xf>
    <xf numFmtId="0" fontId="12" fillId="12" borderId="29" xfId="0" applyFont="1" applyFill="1" applyBorder="1" applyAlignment="1">
      <alignment horizontal="center" vertical="center"/>
    </xf>
    <xf numFmtId="169" fontId="7" fillId="17" borderId="29" xfId="5" applyNumberFormat="1" applyFont="1" applyFill="1" applyBorder="1" applyAlignment="1">
      <alignment horizontal="center" vertical="center"/>
    </xf>
    <xf numFmtId="164" fontId="14" fillId="10" borderId="29" xfId="0" applyNumberFormat="1" applyFont="1" applyFill="1" applyBorder="1" applyAlignment="1">
      <alignment horizontal="center" vertical="center"/>
    </xf>
    <xf numFmtId="0" fontId="0" fillId="10" borderId="33" xfId="0" applyFill="1" applyBorder="1" applyAlignment="1">
      <alignment vertical="center"/>
    </xf>
    <xf numFmtId="0" fontId="12" fillId="12" borderId="33" xfId="0" applyFont="1" applyFill="1" applyBorder="1" applyAlignment="1">
      <alignment horizontal="center" vertical="center"/>
    </xf>
    <xf numFmtId="169" fontId="7" fillId="17" borderId="33" xfId="5" applyNumberFormat="1" applyFont="1" applyFill="1" applyBorder="1" applyAlignment="1">
      <alignment horizontal="center" vertical="center"/>
    </xf>
    <xf numFmtId="164" fontId="14" fillId="10" borderId="33" xfId="0" applyNumberFormat="1" applyFont="1" applyFill="1" applyBorder="1" applyAlignment="1">
      <alignment horizontal="center" vertical="center"/>
    </xf>
    <xf numFmtId="0" fontId="0" fillId="14" borderId="28" xfId="0" applyFill="1" applyBorder="1" applyAlignment="1">
      <alignment vertical="center"/>
    </xf>
    <xf numFmtId="0" fontId="0" fillId="14" borderId="29" xfId="0" applyFill="1" applyBorder="1" applyAlignment="1">
      <alignment vertical="center"/>
    </xf>
    <xf numFmtId="0" fontId="12" fillId="15" borderId="29" xfId="0" applyFont="1" applyFill="1" applyBorder="1" applyAlignment="1">
      <alignment horizontal="center" vertical="center"/>
    </xf>
    <xf numFmtId="169" fontId="7" fillId="16" borderId="29" xfId="5" applyNumberFormat="1" applyFont="1" applyFill="1" applyBorder="1" applyAlignment="1">
      <alignment horizontal="center" vertical="center"/>
    </xf>
    <xf numFmtId="164" fontId="14" fillId="14" borderId="29" xfId="0" applyNumberFormat="1" applyFont="1" applyFill="1" applyBorder="1" applyAlignment="1">
      <alignment horizontal="center" vertical="center"/>
    </xf>
    <xf numFmtId="0" fontId="0" fillId="14" borderId="31" xfId="0" applyFill="1" applyBorder="1" applyAlignment="1">
      <alignment vertical="center"/>
    </xf>
    <xf numFmtId="0" fontId="0" fillId="14" borderId="32" xfId="0" applyFill="1" applyBorder="1" applyAlignment="1">
      <alignment vertical="center"/>
    </xf>
    <xf numFmtId="0" fontId="0" fillId="14" borderId="33" xfId="0" applyFill="1" applyBorder="1" applyAlignment="1">
      <alignment vertical="center"/>
    </xf>
    <xf numFmtId="0" fontId="12" fillId="15" borderId="33" xfId="0" applyFont="1" applyFill="1" applyBorder="1" applyAlignment="1">
      <alignment horizontal="center" vertical="center"/>
    </xf>
    <xf numFmtId="169" fontId="7" fillId="16" borderId="33" xfId="5" applyNumberFormat="1" applyFont="1" applyFill="1" applyBorder="1" applyAlignment="1">
      <alignment horizontal="center" vertical="center"/>
    </xf>
    <xf numFmtId="164" fontId="14" fillId="14" borderId="33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30" xfId="0" applyNumberFormat="1" applyFont="1" applyFill="1" applyBorder="1"/>
    <xf numFmtId="173" fontId="19" fillId="9" borderId="35" xfId="0" applyNumberFormat="1" applyFont="1" applyFill="1" applyBorder="1" applyAlignment="1">
      <alignment vertical="center"/>
    </xf>
    <xf numFmtId="170" fontId="20" fillId="9" borderId="34" xfId="6" applyNumberFormat="1" applyFont="1" applyFill="1" applyBorder="1" applyAlignment="1">
      <alignment horizontal="right" vertical="center"/>
    </xf>
    <xf numFmtId="9" fontId="0" fillId="0" borderId="2" xfId="6" applyFont="1" applyBorder="1"/>
    <xf numFmtId="165" fontId="9" fillId="9" borderId="34" xfId="1" applyFont="1" applyFill="1" applyBorder="1" applyAlignment="1">
      <alignment vertical="center"/>
    </xf>
    <xf numFmtId="165" fontId="9" fillId="10" borderId="34" xfId="1" applyFont="1" applyFill="1" applyBorder="1" applyAlignment="1">
      <alignment vertical="center"/>
    </xf>
    <xf numFmtId="170" fontId="20" fillId="10" borderId="34" xfId="6" applyNumberFormat="1" applyFont="1" applyFill="1" applyBorder="1" applyAlignment="1">
      <alignment horizontal="right" vertical="center"/>
    </xf>
    <xf numFmtId="173" fontId="19" fillId="10" borderId="35" xfId="0" applyNumberFormat="1" applyFont="1" applyFill="1" applyBorder="1" applyAlignment="1">
      <alignment vertical="center"/>
    </xf>
    <xf numFmtId="165" fontId="9" fillId="14" borderId="34" xfId="1" applyFont="1" applyFill="1" applyBorder="1" applyAlignment="1">
      <alignment vertical="center"/>
    </xf>
    <xf numFmtId="170" fontId="20" fillId="14" borderId="34" xfId="6" applyNumberFormat="1" applyFont="1" applyFill="1" applyBorder="1" applyAlignment="1">
      <alignment horizontal="right" vertical="center"/>
    </xf>
    <xf numFmtId="173" fontId="19" fillId="14" borderId="35" xfId="0" applyNumberFormat="1" applyFont="1" applyFill="1" applyBorder="1" applyAlignment="1">
      <alignment vertical="center"/>
    </xf>
    <xf numFmtId="169" fontId="7" fillId="18" borderId="14" xfId="5" applyNumberFormat="1" applyFont="1" applyFill="1" applyBorder="1" applyAlignment="1">
      <alignment horizontal="left" vertical="center"/>
    </xf>
    <xf numFmtId="169" fontId="7" fillId="18" borderId="33" xfId="5" applyNumberFormat="1" applyFont="1" applyFill="1" applyBorder="1" applyAlignment="1">
      <alignment horizontal="left" vertical="center"/>
    </xf>
    <xf numFmtId="169" fontId="7" fillId="17" borderId="29" xfId="5" applyNumberFormat="1" applyFont="1" applyFill="1" applyBorder="1" applyAlignment="1">
      <alignment horizontal="left" vertical="center"/>
    </xf>
    <xf numFmtId="169" fontId="7" fillId="17" borderId="14" xfId="5" applyNumberFormat="1" applyFont="1" applyFill="1" applyBorder="1" applyAlignment="1">
      <alignment horizontal="left" vertical="center"/>
    </xf>
    <xf numFmtId="169" fontId="7" fillId="17" borderId="33" xfId="5" applyNumberFormat="1" applyFont="1" applyFill="1" applyBorder="1" applyAlignment="1">
      <alignment horizontal="left" vertical="center"/>
    </xf>
    <xf numFmtId="169" fontId="7" fillId="16" borderId="29" xfId="5" applyNumberFormat="1" applyFont="1" applyFill="1" applyBorder="1" applyAlignment="1">
      <alignment horizontal="left" vertical="center"/>
    </xf>
    <xf numFmtId="169" fontId="7" fillId="16" borderId="14" xfId="5" applyNumberFormat="1" applyFont="1" applyFill="1" applyBorder="1" applyAlignment="1">
      <alignment horizontal="left" vertical="center"/>
    </xf>
    <xf numFmtId="169" fontId="7" fillId="16" borderId="33" xfId="5" applyNumberFormat="1" applyFont="1" applyFill="1" applyBorder="1" applyAlignment="1">
      <alignment horizontal="left" vertical="center"/>
    </xf>
    <xf numFmtId="173" fontId="0" fillId="9" borderId="14" xfId="1" applyNumberFormat="1" applyFont="1" applyFill="1" applyBorder="1" applyAlignment="1">
      <alignment vertical="center"/>
    </xf>
    <xf numFmtId="173" fontId="0" fillId="9" borderId="33" xfId="1" applyNumberFormat="1" applyFont="1" applyFill="1" applyBorder="1" applyAlignment="1">
      <alignment vertical="center"/>
    </xf>
    <xf numFmtId="173" fontId="0" fillId="10" borderId="29" xfId="1" applyNumberFormat="1" applyFont="1" applyFill="1" applyBorder="1" applyAlignment="1">
      <alignment vertical="center"/>
    </xf>
    <xf numFmtId="173" fontId="0" fillId="10" borderId="14" xfId="1" applyNumberFormat="1" applyFont="1" applyFill="1" applyBorder="1" applyAlignment="1">
      <alignment vertical="center"/>
    </xf>
    <xf numFmtId="173" fontId="0" fillId="10" borderId="33" xfId="1" applyNumberFormat="1" applyFont="1" applyFill="1" applyBorder="1" applyAlignment="1">
      <alignment vertical="center"/>
    </xf>
    <xf numFmtId="173" fontId="0" fillId="14" borderId="29" xfId="1" applyNumberFormat="1" applyFont="1" applyFill="1" applyBorder="1" applyAlignment="1">
      <alignment vertical="center"/>
    </xf>
    <xf numFmtId="173" fontId="0" fillId="14" borderId="14" xfId="1" applyNumberFormat="1" applyFont="1" applyFill="1" applyBorder="1" applyAlignment="1">
      <alignment vertical="center"/>
    </xf>
    <xf numFmtId="173" fontId="0" fillId="14" borderId="33" xfId="1" applyNumberFormat="1" applyFont="1" applyFill="1" applyBorder="1" applyAlignment="1">
      <alignment vertical="center"/>
    </xf>
    <xf numFmtId="173" fontId="1" fillId="19" borderId="27" xfId="0" applyNumberFormat="1" applyFont="1" applyFill="1" applyBorder="1"/>
    <xf numFmtId="0" fontId="1" fillId="19" borderId="0" xfId="0" applyFont="1" applyFill="1"/>
    <xf numFmtId="167" fontId="7" fillId="0" borderId="10" xfId="11" applyNumberFormat="1" applyFont="1" applyFill="1" applyBorder="1" applyAlignment="1" applyProtection="1">
      <alignment horizontal="center" vertical="center"/>
      <protection locked="0"/>
    </xf>
    <xf numFmtId="167" fontId="0" fillId="0" borderId="0" xfId="0" applyNumberFormat="1"/>
    <xf numFmtId="167" fontId="0" fillId="0" borderId="5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0" fontId="0" fillId="0" borderId="1" xfId="0" applyBorder="1"/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169" fontId="7" fillId="0" borderId="0" xfId="5" applyNumberFormat="1" applyFont="1" applyFill="1" applyBorder="1" applyAlignment="1" applyProtection="1">
      <alignment horizontal="center"/>
    </xf>
    <xf numFmtId="169" fontId="7" fillId="0" borderId="10" xfId="5" applyNumberFormat="1" applyFont="1" applyFill="1" applyBorder="1" applyAlignment="1" applyProtection="1">
      <alignment horizontal="center"/>
    </xf>
    <xf numFmtId="168" fontId="7" fillId="0" borderId="6" xfId="0" applyNumberFormat="1" applyFont="1" applyBorder="1" applyAlignment="1">
      <alignment horizontal="center" vertical="center"/>
    </xf>
    <xf numFmtId="168" fontId="7" fillId="0" borderId="4" xfId="0" applyNumberFormat="1" applyFont="1" applyBorder="1" applyAlignment="1" applyProtection="1">
      <alignment horizontal="center" vertical="center"/>
      <protection locked="0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32" xfId="0" applyFill="1" applyBorder="1" applyAlignment="1">
      <alignment vertical="center"/>
    </xf>
    <xf numFmtId="0" fontId="1" fillId="2" borderId="19" xfId="0" applyFont="1" applyFill="1" applyBorder="1" applyAlignment="1">
      <alignment horizontal="center" vertical="top"/>
    </xf>
    <xf numFmtId="167" fontId="1" fillId="3" borderId="19" xfId="1" applyNumberFormat="1" applyFont="1" applyFill="1" applyBorder="1" applyAlignment="1" applyProtection="1">
      <alignment horizontal="left" vertical="top" wrapText="1"/>
    </xf>
    <xf numFmtId="0" fontId="1" fillId="2" borderId="19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7" fillId="0" borderId="22" xfId="0" applyFont="1" applyBorder="1" applyAlignment="1">
      <alignment horizontal="left" vertical="center"/>
    </xf>
    <xf numFmtId="49" fontId="17" fillId="0" borderId="0" xfId="0" applyNumberFormat="1" applyFont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Protection="1">
      <protection locked="0"/>
    </xf>
    <xf numFmtId="49" fontId="7" fillId="0" borderId="0" xfId="0" applyNumberFormat="1" applyFont="1"/>
    <xf numFmtId="173" fontId="7" fillId="0" borderId="0" xfId="1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71" fontId="7" fillId="0" borderId="0" xfId="0" applyNumberFormat="1" applyFont="1" applyAlignment="1">
      <alignment horizontal="center" vertical="center"/>
    </xf>
    <xf numFmtId="171" fontId="7" fillId="0" borderId="0" xfId="0" applyNumberFormat="1" applyFont="1"/>
    <xf numFmtId="170" fontId="7" fillId="0" borderId="0" xfId="5" applyNumberFormat="1" applyFont="1" applyBorder="1"/>
    <xf numFmtId="170" fontId="7" fillId="0" borderId="0" xfId="6" applyNumberFormat="1" applyFont="1" applyBorder="1" applyProtection="1">
      <protection locked="0"/>
    </xf>
    <xf numFmtId="169" fontId="7" fillId="0" borderId="0" xfId="0" applyNumberFormat="1" applyFont="1"/>
    <xf numFmtId="49" fontId="7" fillId="0" borderId="0" xfId="0" applyNumberFormat="1" applyFont="1" applyAlignment="1">
      <alignment vertical="center"/>
    </xf>
    <xf numFmtId="173" fontId="7" fillId="0" borderId="0" xfId="11" applyNumberFormat="1" applyFont="1" applyBorder="1" applyAlignment="1">
      <alignment horizontal="center"/>
    </xf>
    <xf numFmtId="0" fontId="0" fillId="0" borderId="24" xfId="0" applyBorder="1"/>
    <xf numFmtId="49" fontId="0" fillId="0" borderId="20" xfId="0" applyNumberFormat="1" applyBorder="1"/>
    <xf numFmtId="0" fontId="0" fillId="0" borderId="20" xfId="0" applyBorder="1" applyAlignment="1">
      <alignment horizontal="center"/>
    </xf>
    <xf numFmtId="49" fontId="10" fillId="2" borderId="15" xfId="0" applyNumberFormat="1" applyFont="1" applyFill="1" applyBorder="1" applyAlignment="1">
      <alignment horizontal="center" vertical="center" wrapText="1"/>
    </xf>
    <xf numFmtId="49" fontId="17" fillId="2" borderId="25" xfId="0" applyNumberFormat="1" applyFont="1" applyFill="1" applyBorder="1" applyAlignment="1">
      <alignment horizontal="left" vertical="center" wrapText="1"/>
    </xf>
    <xf numFmtId="0" fontId="8" fillId="2" borderId="25" xfId="0" applyFont="1" applyFill="1" applyBorder="1" applyAlignment="1">
      <alignment horizontal="left" vertical="center" wrapText="1"/>
    </xf>
    <xf numFmtId="0" fontId="8" fillId="2" borderId="25" xfId="0" applyFont="1" applyFill="1" applyBorder="1" applyAlignment="1">
      <alignment vertical="top" wrapText="1"/>
    </xf>
    <xf numFmtId="0" fontId="1" fillId="2" borderId="25" xfId="0" applyFont="1" applyFill="1" applyBorder="1" applyAlignment="1">
      <alignment vertical="top" wrapText="1"/>
    </xf>
    <xf numFmtId="0" fontId="1" fillId="2" borderId="25" xfId="0" applyFont="1" applyFill="1" applyBorder="1" applyAlignment="1">
      <alignment vertical="top"/>
    </xf>
    <xf numFmtId="0" fontId="1" fillId="2" borderId="25" xfId="0" applyFont="1" applyFill="1" applyBorder="1" applyAlignment="1">
      <alignment horizontal="center" vertical="top" wrapText="1"/>
    </xf>
    <xf numFmtId="0" fontId="1" fillId="2" borderId="16" xfId="0" applyFont="1" applyFill="1" applyBorder="1" applyAlignment="1" applyProtection="1">
      <alignment horizontal="center" vertical="top"/>
      <protection locked="0"/>
    </xf>
    <xf numFmtId="7" fontId="0" fillId="9" borderId="36" xfId="0" applyNumberFormat="1" applyFill="1" applyBorder="1"/>
    <xf numFmtId="7" fontId="0" fillId="10" borderId="36" xfId="0" applyNumberFormat="1" applyFill="1" applyBorder="1"/>
    <xf numFmtId="7" fontId="0" fillId="14" borderId="36" xfId="0" applyNumberFormat="1" applyFill="1" applyBorder="1"/>
    <xf numFmtId="49" fontId="7" fillId="0" borderId="0" xfId="0" applyNumberFormat="1" applyFont="1" applyAlignment="1">
      <alignment horizontal="center"/>
    </xf>
    <xf numFmtId="0" fontId="7" fillId="0" borderId="0" xfId="0" applyFont="1" applyAlignment="1" applyProtection="1">
      <alignment horizontal="left" vertical="center" wrapText="1" indent="1"/>
      <protection locked="0"/>
    </xf>
    <xf numFmtId="49" fontId="7" fillId="0" borderId="0" xfId="0" applyNumberFormat="1" applyFont="1" applyAlignment="1">
      <alignment horizontal="center" vertical="center"/>
    </xf>
    <xf numFmtId="173" fontId="7" fillId="0" borderId="0" xfId="1" applyNumberFormat="1" applyFont="1" applyBorder="1" applyAlignment="1" applyProtection="1">
      <alignment horizontal="center" vertical="center"/>
      <protection locked="0"/>
    </xf>
    <xf numFmtId="170" fontId="7" fillId="0" borderId="0" xfId="5" applyNumberFormat="1" applyFont="1" applyBorder="1" applyProtection="1"/>
    <xf numFmtId="168" fontId="7" fillId="5" borderId="0" xfId="0" applyNumberFormat="1" applyFont="1" applyFill="1" applyAlignment="1" applyProtection="1">
      <alignment horizontal="center"/>
      <protection locked="0"/>
    </xf>
    <xf numFmtId="168" fontId="7" fillId="4" borderId="6" xfId="0" applyNumberFormat="1" applyFont="1" applyFill="1" applyBorder="1" applyAlignment="1">
      <alignment horizontal="center"/>
    </xf>
    <xf numFmtId="168" fontId="7" fillId="0" borderId="0" xfId="0" applyNumberFormat="1" applyFont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167" fontId="7" fillId="0" borderId="10" xfId="1" applyNumberFormat="1" applyFont="1" applyFill="1" applyBorder="1" applyAlignment="1" applyProtection="1">
      <alignment horizontal="center"/>
      <protection locked="0"/>
    </xf>
    <xf numFmtId="167" fontId="7" fillId="0" borderId="2" xfId="1" applyNumberFormat="1" applyFont="1" applyFill="1" applyBorder="1" applyAlignment="1" applyProtection="1">
      <alignment horizontal="center" vertical="center"/>
      <protection locked="0"/>
    </xf>
    <xf numFmtId="168" fontId="7" fillId="0" borderId="4" xfId="0" applyNumberFormat="1" applyFont="1" applyBorder="1" applyAlignment="1" applyProtection="1">
      <alignment horizontal="center"/>
      <protection locked="0"/>
    </xf>
    <xf numFmtId="168" fontId="7" fillId="9" borderId="37" xfId="0" applyNumberFormat="1" applyFont="1" applyFill="1" applyBorder="1" applyAlignment="1" applyProtection="1">
      <alignment horizontal="center" vertical="center"/>
      <protection locked="0"/>
    </xf>
    <xf numFmtId="0" fontId="7" fillId="20" borderId="0" xfId="0" applyFont="1" applyFill="1" applyAlignment="1" applyProtection="1">
      <alignment vertical="center"/>
      <protection locked="0"/>
    </xf>
    <xf numFmtId="0" fontId="1" fillId="6" borderId="17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173" fontId="1" fillId="13" borderId="0" xfId="1" applyNumberFormat="1" applyFont="1" applyFill="1" applyAlignment="1">
      <alignment horizontal="center"/>
    </xf>
    <xf numFmtId="0" fontId="9" fillId="0" borderId="22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/>
    </xf>
    <xf numFmtId="0" fontId="9" fillId="0" borderId="20" xfId="0" applyFont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2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left" vertical="center" wrapText="1"/>
    </xf>
    <xf numFmtId="0" fontId="9" fillId="0" borderId="18" xfId="0" applyFont="1" applyBorder="1" applyAlignment="1">
      <alignment horizontal="left" vertical="center" wrapText="1"/>
    </xf>
    <xf numFmtId="173" fontId="18" fillId="10" borderId="34" xfId="0" applyNumberFormat="1" applyFont="1" applyFill="1" applyBorder="1" applyAlignment="1">
      <alignment horizontal="center" vertical="center"/>
    </xf>
    <xf numFmtId="173" fontId="18" fillId="9" borderId="34" xfId="0" applyNumberFormat="1" applyFont="1" applyFill="1" applyBorder="1" applyAlignment="1">
      <alignment horizontal="center" vertical="center"/>
    </xf>
    <xf numFmtId="173" fontId="18" fillId="14" borderId="34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top"/>
    </xf>
    <xf numFmtId="0" fontId="1" fillId="2" borderId="19" xfId="0" applyFont="1" applyFill="1" applyBorder="1" applyAlignment="1">
      <alignment horizontal="center" vertical="top"/>
    </xf>
    <xf numFmtId="0" fontId="1" fillId="2" borderId="18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" fillId="13" borderId="0" xfId="0" applyFont="1" applyFill="1" applyAlignment="1">
      <alignment horizontal="center"/>
    </xf>
  </cellXfs>
  <cellStyles count="13">
    <cellStyle name="Moeda" xfId="1" builtinId="4"/>
    <cellStyle name="Moeda 2" xfId="7" xr:uid="{C641A08A-10F7-4E93-8D9F-3FAE7B81195F}"/>
    <cellStyle name="Moeda 2 2" xfId="11" xr:uid="{6AB5D9DE-DEFD-4868-B86E-30AD16BCA3E2}"/>
    <cellStyle name="Moeda 3" xfId="9" xr:uid="{E8CD69A4-82A5-449D-80D5-4276742315E7}"/>
    <cellStyle name="Normal" xfId="0" builtinId="0"/>
    <cellStyle name="Normal 2" xfId="2" xr:uid="{CE7C3382-55B8-433D-A066-91FE290D611E}"/>
    <cellStyle name="Normal 4 2 3" xfId="4" xr:uid="{757350F2-C932-4F19-B127-84AF6567F7CD}"/>
    <cellStyle name="Normal 4 6" xfId="3" xr:uid="{057C0A80-20B1-4AD1-91D9-7CBF4013FFB8}"/>
    <cellStyle name="Porcentagem" xfId="6" builtinId="5"/>
    <cellStyle name="Vírgula" xfId="5" builtinId="3"/>
    <cellStyle name="Vírgula 2" xfId="8" xr:uid="{F4E0C610-6EC6-44C9-8E8B-F2F410AAF42B}"/>
    <cellStyle name="Vírgula 2 2" xfId="12" xr:uid="{809625C3-4E37-4A99-B9CB-84BE659CA892}"/>
    <cellStyle name="Vírgula 3" xfId="10" xr:uid="{F4FB0CBD-2EB3-4D29-B9E6-761209D06FB4}"/>
  </cellStyles>
  <dxfs count="96">
    <dxf>
      <font>
        <color theme="1"/>
      </font>
    </dxf>
    <dxf>
      <font>
        <color theme="5" tint="-0.24994659260841701"/>
      </font>
    </dxf>
    <dxf>
      <font>
        <color theme="9" tint="0.59996337778862885"/>
      </font>
    </dxf>
    <dxf>
      <font>
        <color rgb="FFFF0000"/>
      </font>
    </dxf>
    <dxf>
      <font>
        <color rgb="FFC89800"/>
      </font>
    </dxf>
    <dxf>
      <font>
        <strike val="0"/>
        <outline val="0"/>
        <shadow val="0"/>
        <u val="none"/>
        <vertAlign val="baseline"/>
        <sz val="12"/>
        <color theme="1"/>
      </font>
      <numFmt numFmtId="168" formatCode="#,##0_ ;\-#,##0\ 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#,##0_ ;\-#,##0\ "/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</font>
      <numFmt numFmtId="168" formatCode="#,##0_ ;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#,##0_ ;\-#,##0\ 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</border>
      <protection locked="0" hidden="0"/>
    </dxf>
    <dxf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8" formatCode="#,##0_ ;\-#,##0\ 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  <protection locked="1" hidden="0"/>
    </dxf>
    <dxf>
      <numFmt numFmtId="167" formatCode="_-&quot;R$&quot;\ * #,##0_-;\-&quot;R$&quot;\ * #,##0_-;_-&quot;R$&quot;\ * &quot;-&quot;??_-;_-@_-"/>
    </dxf>
    <dxf>
      <font>
        <strike val="0"/>
        <outline val="0"/>
        <shadow val="0"/>
        <u val="none"/>
        <vertAlign val="baseline"/>
        <sz val="12"/>
        <color theme="1"/>
      </font>
      <numFmt numFmtId="168" formatCode="#,##0_ ;\-#,##0\ 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7" formatCode="_-&quot;R$&quot;\ * #,##0_-;\-&quot;R$&quot;\ * #,##0_-;_-&quot;R$&quot;\ * &quot;-&quot;??_-;_-@_-"/>
      <border diagonalUp="0" diagonalDown="0" outline="0">
        <left/>
        <right/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#,##0_ ;\-#,##0\ 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8" formatCode="#,##0_ ;\-#,##0\ 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R$&quot;\ * #,##0_-;\-&quot;R$&quot;\ * #,##0_-;_-&quot;R$&quot;\ 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_-* #,##0_-;\-* #,##0_-;_-* &quot;-&quot;??_-;_-@_-"/>
      <alignment horizontal="center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0.0%"/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0.0%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171" formatCode="dd/mm/yy;@"/>
      <protection locked="1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dd/mm/yy;@"/>
      <alignment horizontal="center" vertical="center" textRotation="0" wrapText="0" indent="0" justifyLastLine="0" shrinkToFit="0" readingOrder="0"/>
      <protection locked="1" hidden="0"/>
    </dxf>
    <dxf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alignment horizontal="center" textRotation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&quot;R$&quot;* #,##0_);_(&quot;R$&quot;* \(#,##0\);_(&quot;R$&quot;* &quot;-&quot;??_);_(@_)"/>
      <alignment horizontal="center" vertical="center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&quot;R$&quot;* #,##0_);_(&quot;R$&quot;* \(#,##0\);_(&quot;R$&quot;* &quot;-&quot;??_);_(@_)"/>
      <alignment horizontal="center" vertical="center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protection locked="1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protection locked="0" hidden="0"/>
    </dxf>
    <dxf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1" hidden="0"/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</font>
      <fill>
        <patternFill patternType="none">
          <fgColor rgb="FF000000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/>
      </font>
      <fill>
        <patternFill>
          <bgColor theme="3"/>
        </patternFill>
      </fill>
    </dxf>
  </dxfs>
  <tableStyles count="0" defaultTableStyle="TableStyleMedium9" defaultPivotStyle="PivotStyleLight16"/>
  <colors>
    <mruColors>
      <color rgb="FFFFC01C"/>
      <color rgb="FF93C024"/>
      <color rgb="FFFFFF9B"/>
      <color rgb="FFFFFF4F"/>
      <color rgb="FFFFBDBD"/>
      <color rgb="FFC89800"/>
      <color rgb="FFEBF6F9"/>
      <color rgb="FFC9F1FF"/>
      <color rgb="FFFFFFFF"/>
      <color rgb="FF1334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2471424304817962"/>
          <c:y val="5.0890585241730277E-2"/>
          <c:w val="0.46476076323164955"/>
          <c:h val="0.8982188295165394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Apoio!$A$22:$A$28</c:f>
              <c:strCache>
                <c:ptCount val="7"/>
                <c:pt idx="0">
                  <c:v>Comercial</c:v>
                </c:pt>
                <c:pt idx="1">
                  <c:v>Financeira</c:v>
                </c:pt>
                <c:pt idx="2">
                  <c:v>Gente &amp; Cultura</c:v>
                </c:pt>
                <c:pt idx="3">
                  <c:v>Governança Corp</c:v>
                </c:pt>
                <c:pt idx="4">
                  <c:v>Marketing</c:v>
                </c:pt>
                <c:pt idx="5">
                  <c:v>Produtos</c:v>
                </c:pt>
                <c:pt idx="6">
                  <c:v>Tecnologia</c:v>
                </c:pt>
              </c:strCache>
            </c:strRef>
          </c:cat>
          <c:val>
            <c:numRef>
              <c:f>Apoio!$B$22:$B$28</c:f>
              <c:numCache>
                <c:formatCode>General</c:formatCode>
                <c:ptCount val="7"/>
                <c:pt idx="0">
                  <c:v>11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9</c:v>
                </c:pt>
                <c:pt idx="5">
                  <c:v>3</c:v>
                </c:pt>
                <c:pt idx="6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A-41DF-827B-A8BB344F7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4841583"/>
        <c:axId val="1754843023"/>
      </c:barChart>
      <c:catAx>
        <c:axId val="17548415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4843023"/>
        <c:crosses val="autoZero"/>
        <c:auto val="1"/>
        <c:lblAlgn val="ctr"/>
        <c:lblOffset val="100"/>
        <c:noMultiLvlLbl val="0"/>
      </c:catAx>
      <c:valAx>
        <c:axId val="175484302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754841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91388083007872E-2"/>
          <c:y val="2.1720325238270315E-2"/>
          <c:w val="0.70755478117312109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7-4385-8C9F-0E627B58A287}"/>
              </c:ext>
            </c:extLst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7-4385-8C9F-0E627B58A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Apoio!$E$22:$E$23</c:f>
              <c:strCache>
                <c:ptCount val="2"/>
                <c:pt idx="0">
                  <c:v>BBF</c:v>
                </c:pt>
                <c:pt idx="1">
                  <c:v>Evolução</c:v>
                </c:pt>
              </c:strCache>
            </c:strRef>
          </c:cat>
          <c:val>
            <c:numRef>
              <c:f>Apoio!$G$22:$G$23</c:f>
              <c:numCache>
                <c:formatCode>0%</c:formatCode>
                <c:ptCount val="2"/>
                <c:pt idx="0">
                  <c:v>0.46268656716417911</c:v>
                </c:pt>
                <c:pt idx="1">
                  <c:v>0.53731343283582089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7-4385-8C9F-0E627B58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925172983640182"/>
          <c:y val="0.29217039679499701"/>
          <c:w val="0.35289309106733197"/>
          <c:h val="0.383199979820661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13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7064666438641524E-2"/>
          <c:y val="3.0110333741720934E-2"/>
          <c:w val="0.97255330944896512"/>
          <c:h val="0.7432731191908397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C01C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BB-46DA-9AB7-B18516B173FF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BCBB-46DA-9AB7-B18516B173F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BB-46DA-9AB7-B18516B173F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B-46DA-9AB7-B18516B173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'Iniciativas 2026'!$I$1:$I$2</c:f>
              <c:strCache>
                <c:ptCount val="2"/>
                <c:pt idx="0">
                  <c:v>Estratégico</c:v>
                </c:pt>
                <c:pt idx="1">
                  <c:v>Operacional</c:v>
                </c:pt>
              </c:strCache>
            </c:strRef>
          </c:cat>
          <c:val>
            <c:numRef>
              <c:f>'Iniciativas 2026'!$H$1:$H$2</c:f>
              <c:numCache>
                <c:formatCode>General</c:formatCode>
                <c:ptCount val="2"/>
                <c:pt idx="0">
                  <c:v>46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B-46DA-9AB7-B18516B17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37559896557566E-2"/>
          <c:y val="0.80349378667428173"/>
          <c:w val="0.85122531547917779"/>
          <c:h val="0.12338794366093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109423822022247"/>
          <c:y val="0.16169154228855723"/>
          <c:w val="0.83922322209723788"/>
          <c:h val="0.82854232773142167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layout>
                <c:manualLayout>
                  <c:x val="3.3059119500962386E-3"/>
                  <c:y val="2.6108717768371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71-45DE-B3AE-3D6E4E638A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Apoio!$A$9:$A$12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Apoio!$C$9:$C$12</c:f>
              <c:numCache>
                <c:formatCode>0.0%</c:formatCode>
                <c:ptCount val="4"/>
                <c:pt idx="0">
                  <c:v>0.26865671641791045</c:v>
                </c:pt>
                <c:pt idx="1">
                  <c:v>0.13432835820895522</c:v>
                </c:pt>
                <c:pt idx="2">
                  <c:v>0.17910447761194029</c:v>
                </c:pt>
                <c:pt idx="3">
                  <c:v>0.41791044776119401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1-45DE-B3AE-3D6E4E638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71765359"/>
        <c:axId val="371761999"/>
        <c:axId val="0"/>
      </c:bar3DChart>
      <c:catAx>
        <c:axId val="3717653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761999"/>
        <c:crosses val="autoZero"/>
        <c:auto val="1"/>
        <c:lblAlgn val="ctr"/>
        <c:lblOffset val="100"/>
        <c:noMultiLvlLbl val="0"/>
      </c:catAx>
      <c:valAx>
        <c:axId val="371761999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37176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383211694633707E-3"/>
          <c:y val="1.0685657991437432E-2"/>
          <c:w val="0.99032133178474646"/>
          <c:h val="0.98854524627720508"/>
        </c:manualLayout>
      </c:layout>
      <c:scatterChart>
        <c:scatterStyle val="lineMarker"/>
        <c:varyColors val="0"/>
        <c:ser>
          <c:idx val="0"/>
          <c:order val="0"/>
          <c:tx>
            <c:v>Automatização de processo de cobrança via wats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EBA1-4B25-98C3-A7CE76AB1BD2}"/>
            </c:ext>
          </c:extLst>
        </c:ser>
        <c:ser>
          <c:idx val="1"/>
          <c:order val="1"/>
          <c:tx>
            <c:v>Automatizar todos os processos que estão em planilhas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EBA1-4B25-98C3-A7CE76AB1BD2}"/>
            </c:ext>
          </c:extLst>
        </c:ser>
        <c:ser>
          <c:idx val="2"/>
          <c:order val="2"/>
          <c:tx>
            <c:v>Centralização de dados de todas as areas e sistemas(Data lake)</c:v>
          </c:tx>
          <c:xVal>
            <c:numLit>
              <c:formatCode>General</c:formatCode>
              <c:ptCount val="1"/>
              <c:pt idx="0">
                <c:v>14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8-EBA1-4B25-98C3-A7CE76AB1BD2}"/>
            </c:ext>
          </c:extLst>
        </c:ser>
        <c:ser>
          <c:idx val="3"/>
          <c:order val="3"/>
          <c:tx>
            <c:v>Comunidades em camadas</c:v>
          </c:tx>
          <c:xVal>
            <c:numLit>
              <c:formatCode>General</c:formatCode>
              <c:ptCount val="1"/>
              <c:pt idx="0">
                <c:v>17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9-EBA1-4B25-98C3-A7CE76AB1BD2}"/>
            </c:ext>
          </c:extLst>
        </c:ser>
        <c:ser>
          <c:idx val="4"/>
          <c:order val="4"/>
          <c:tx>
            <c:v>Criar alertas para monitorar a operação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A-EBA1-4B25-98C3-A7CE76AB1BD2}"/>
            </c:ext>
          </c:extLst>
        </c:ser>
        <c:ser>
          <c:idx val="5"/>
          <c:order val="5"/>
          <c:tx>
            <c:v>Criar anúncios mensurando carbono no app</c:v>
          </c:tx>
          <c:xVal>
            <c:numLit>
              <c:formatCode>General</c:formatCode>
              <c:ptCount val="1"/>
              <c:pt idx="0">
                <c:v>8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EBA1-4B25-98C3-A7CE76AB1BD2}"/>
            </c:ext>
          </c:extLst>
        </c:ser>
        <c:ser>
          <c:idx val="6"/>
          <c:order val="6"/>
          <c:tx>
            <c:v>Criar dataset utilizando nosso data lake para marchine learning (própria)</c:v>
          </c:tx>
          <c:xVal>
            <c:numLit>
              <c:formatCode>General</c:formatCode>
              <c:ptCount val="1"/>
              <c:pt idx="0">
                <c:v>8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EBA1-4B25-98C3-A7CE76AB1BD2}"/>
            </c:ext>
          </c:extLst>
        </c:ser>
        <c:ser>
          <c:idx val="7"/>
          <c:order val="7"/>
          <c:tx>
            <c:v>Criar news letter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D-EBA1-4B25-98C3-A7CE76AB1BD2}"/>
            </c:ext>
          </c:extLst>
        </c:ser>
        <c:ser>
          <c:idx val="8"/>
          <c:order val="8"/>
          <c:tx>
            <c:v>Criar parcerias com varejistas / distribuidor / fornecedor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E-EBA1-4B25-98C3-A7CE76AB1BD2}"/>
            </c:ext>
          </c:extLst>
        </c:ser>
        <c:ser>
          <c:idx val="9"/>
          <c:order val="9"/>
          <c:tx>
            <c:v>Criar novas dinâmicas de transferência de pontos pelo parceiro (CPF no PDV, leitura de cupom fiscal, entre outros)</c:v>
          </c:tx>
          <c:xVal>
            <c:numLit>
              <c:formatCode>General</c:formatCode>
              <c:ptCount val="1"/>
              <c:pt idx="0">
                <c:v>16</c:v>
              </c:pt>
            </c:numLit>
          </c:xVal>
          <c:yVal>
            <c:numLit>
              <c:formatCode>General</c:formatCode>
              <c:ptCount val="1"/>
              <c:pt idx="0">
                <c:v>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F-EBA1-4B25-98C3-A7CE76AB1BD2}"/>
            </c:ext>
          </c:extLst>
        </c:ser>
        <c:ser>
          <c:idx val="10"/>
          <c:order val="10"/>
          <c:tx>
            <c:v>Evoluir a Integração bancária de gateway de pagamento cont de luz</c:v>
          </c:tx>
          <c:xVal>
            <c:numLit>
              <c:formatCode>General</c:formatCode>
              <c:ptCount val="1"/>
              <c:pt idx="0">
                <c:v>18</c:v>
              </c:pt>
            </c:numLit>
          </c:xVal>
          <c:yVal>
            <c:numLit>
              <c:formatCode>General</c:formatCode>
              <c:ptCount val="1"/>
              <c:pt idx="0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0-EBA1-4B25-98C3-A7CE76AB1BD2}"/>
            </c:ext>
          </c:extLst>
        </c:ser>
        <c:ser>
          <c:idx val="11"/>
          <c:order val="11"/>
          <c:tx>
            <c:v>Geração de pontos rastreados Blockchain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1-EBA1-4B25-98C3-A7CE76AB1BD2}"/>
            </c:ext>
          </c:extLst>
        </c:ser>
        <c:ser>
          <c:idx val="12"/>
          <c:order val="12"/>
          <c:tx>
            <c:v>Gerar receita marktplace NFTs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2-EBA1-4B25-98C3-A7CE76AB1BD2}"/>
            </c:ext>
          </c:extLst>
        </c:ser>
        <c:ser>
          <c:idx val="13"/>
          <c:order val="13"/>
          <c:tx>
            <c:v>Identidade digitais na plataforma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3-EBA1-4B25-98C3-A7CE76AB1BD2}"/>
            </c:ext>
          </c:extLst>
        </c:ser>
        <c:ser>
          <c:idx val="14"/>
          <c:order val="14"/>
          <c:tx>
            <c:v>Implantar Boot com IA atendimento integrado com BETA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4-EBA1-4B25-98C3-A7CE76AB1BD2}"/>
            </c:ext>
          </c:extLst>
        </c:ser>
        <c:ser>
          <c:idx val="15"/>
          <c:order val="15"/>
          <c:tx>
            <c:v>Implementar Pesquisa de clientes dentro app</c:v>
          </c:tx>
          <c:xVal>
            <c:numLit>
              <c:formatCode>General</c:formatCode>
              <c:ptCount val="1"/>
              <c:pt idx="0">
                <c:v>14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5-EBA1-4B25-98C3-A7CE76AB1BD2}"/>
            </c:ext>
          </c:extLst>
        </c:ser>
        <c:ser>
          <c:idx val="16"/>
          <c:order val="16"/>
          <c:tx>
            <c:v>Implementar Soul bank 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6-EBA1-4B25-98C3-A7CE76AB1BD2}"/>
            </c:ext>
          </c:extLst>
        </c:ser>
        <c:ser>
          <c:idx val="17"/>
          <c:order val="17"/>
          <c:tx>
            <c:v>Integração byte dance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7-EBA1-4B25-98C3-A7CE76AB1BD2}"/>
            </c:ext>
          </c:extLst>
        </c:ser>
        <c:ser>
          <c:idx val="18"/>
          <c:order val="18"/>
          <c:tx>
            <c:v>Integração Deezer</c:v>
          </c:tx>
          <c:xVal>
            <c:numLit>
              <c:formatCode>General</c:formatCode>
              <c:ptCount val="1"/>
              <c:pt idx="0">
                <c:v>8</c:v>
              </c:pt>
            </c:numLit>
          </c:xVal>
          <c:yVal>
            <c:numLit>
              <c:formatCode>General</c:formatCode>
              <c:ptCount val="1"/>
              <c:pt idx="0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8-EBA1-4B25-98C3-A7CE76AB1BD2}"/>
            </c:ext>
          </c:extLst>
        </c:ser>
        <c:ser>
          <c:idx val="19"/>
          <c:order val="19"/>
          <c:tx>
            <c:v>Integrar sistemas externos com Beta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9-EBA1-4B25-98C3-A7CE76AB1BD2}"/>
            </c:ext>
          </c:extLst>
        </c:ser>
        <c:ser>
          <c:idx val="20"/>
          <c:order val="20"/>
          <c:tx>
            <c:v>Melhorar a usabilidade do programa de pontos no app Soul e plataforma de Vales</c:v>
          </c:tx>
          <c:xVal>
            <c:numLit>
              <c:formatCode>General</c:formatCode>
              <c:ptCount val="1"/>
              <c:pt idx="0">
                <c:v>19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A-EBA1-4B25-98C3-A7CE76AB1BD2}"/>
            </c:ext>
          </c:extLst>
        </c:ser>
        <c:ser>
          <c:idx val="21"/>
          <c:order val="21"/>
          <c:tx>
            <c:v>Sistema integrado COMPLETO dos pontos ecoa/vales energia (estoque/comercial/faturamento/financeiro/contabil)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B-EBA1-4B25-98C3-A7CE76AB1BD2}"/>
            </c:ext>
          </c:extLst>
        </c:ser>
        <c:ser>
          <c:idx val="22"/>
          <c:order val="22"/>
          <c:tx>
            <c:v>Soul bussiness + compra de pontos via web</c:v>
          </c:tx>
          <c:xVal>
            <c:numLit>
              <c:formatCode>General</c:formatCode>
              <c:ptCount val="1"/>
              <c:pt idx="0">
                <c:v>16</c:v>
              </c:pt>
            </c:numLit>
          </c:xVal>
          <c:yVal>
            <c:numLit>
              <c:formatCode>General</c:formatCode>
              <c:ptCount val="1"/>
              <c:pt idx="0">
                <c:v>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C-EBA1-4B25-98C3-A7CE76AB1BD2}"/>
            </c:ext>
          </c:extLst>
        </c:ser>
        <c:ser>
          <c:idx val="23"/>
          <c:order val="23"/>
          <c:tx>
            <c:v>Taguear o App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D-EBA1-4B25-98C3-A7CE76AB1BD2}"/>
            </c:ext>
          </c:extLst>
        </c:ser>
        <c:ser>
          <c:idx val="24"/>
          <c:order val="24"/>
          <c:tx>
            <c:v>Ter um painel de visibilidade do fluxo do processo jurídico</c:v>
          </c:tx>
          <c:xVal>
            <c:numLit>
              <c:formatCode>General</c:formatCode>
              <c:ptCount val="1"/>
              <c:pt idx="0">
                <c:v>7</c:v>
              </c:pt>
            </c:numLit>
          </c:xVal>
          <c:yVal>
            <c:numLit>
              <c:formatCode>General</c:formatCode>
              <c:ptCount val="1"/>
              <c:pt idx="0">
                <c:v>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E-EBA1-4B25-98C3-A7CE76AB1BD2}"/>
            </c:ext>
          </c:extLst>
        </c:ser>
        <c:ser>
          <c:idx val="25"/>
          <c:order val="25"/>
          <c:tx>
            <c:v>Transferencia de pontos via wallet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F-EBA1-4B25-98C3-A7CE76AB1BD2}"/>
            </c:ext>
          </c:extLst>
        </c:ser>
        <c:ser>
          <c:idx val="26"/>
          <c:order val="26"/>
          <c:tx>
            <c:v>Validação financeira em IA para orçamento</c:v>
          </c:tx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Lit>
              <c:formatCode>General</c:formatCode>
              <c:ptCount val="1"/>
              <c:pt idx="0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0-EBA1-4B25-98C3-A7CE76AB1BD2}"/>
            </c:ext>
          </c:extLst>
        </c:ser>
        <c:ser>
          <c:idx val="27"/>
          <c:order val="27"/>
          <c:tx>
            <c:v>Criar integração com jogos e missões diárias no App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1-EBA1-4B25-98C3-A7CE76AB1BD2}"/>
            </c:ext>
          </c:extLst>
        </c:ser>
        <c:ser>
          <c:idx val="28"/>
          <c:order val="28"/>
          <c:tx>
            <c:v>Criar jornada de coalizão entre os produtos: EV, Pontos Ecoa e Soul Up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2-EBA1-4B25-98C3-A7CE76AB1BD2}"/>
            </c:ext>
          </c:extLst>
        </c:ser>
        <c:ser>
          <c:idx val="29"/>
          <c:order val="29"/>
          <c:tx>
            <c:v>Criar novas linhas de receita (compra de pontos, assinatura mensal)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3-EBA1-4B25-98C3-A7CE76AB1BD2}"/>
            </c:ext>
          </c:extLst>
        </c:ser>
        <c:ser>
          <c:idx val="30"/>
          <c:order val="30"/>
          <c:tx>
            <c:v>Bugdet de marketing anual para ações e campanhas</c:v>
          </c:tx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4-EBA1-4B25-98C3-A7CE76AB1BD2}"/>
            </c:ext>
          </c:extLst>
        </c:ser>
        <c:ser>
          <c:idx val="31"/>
          <c:order val="31"/>
          <c:tx>
            <c:v>Embaixador da marca Energia Verde</c:v>
          </c:tx>
          <c:xVal>
            <c:numLit>
              <c:formatCode>General</c:formatCode>
              <c:ptCount val="1"/>
              <c:pt idx="0">
                <c:v>5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5-EBA1-4B25-98C3-A7CE76AB1BD2}"/>
            </c:ext>
          </c:extLst>
        </c:ser>
        <c:ser>
          <c:idx val="32"/>
          <c:order val="32"/>
          <c:tx>
            <c:v>Investimento em patrocínios e TV aberta</c:v>
          </c:tx>
          <c:xVal>
            <c:numLit>
              <c:formatCode>General</c:formatCode>
              <c:ptCount val="1"/>
              <c:pt idx="0">
                <c:v>10</c:v>
              </c:pt>
            </c:numLit>
          </c:xVal>
          <c:yVal>
            <c:numLit>
              <c:formatCode>General</c:formatCode>
              <c:ptCount val="1"/>
              <c:pt idx="0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6-EBA1-4B25-98C3-A7CE76AB1BD2}"/>
            </c:ext>
          </c:extLst>
        </c:ser>
        <c:ser>
          <c:idx val="33"/>
          <c:order val="33"/>
          <c:tx>
            <c:v>Restruturar todos os canais digitais de cada produto</c:v>
          </c:tx>
          <c:xVal>
            <c:numLit>
              <c:formatCode>General</c:formatCode>
              <c:ptCount val="1"/>
              <c:pt idx="0">
                <c:v>20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EBA1-4B25-98C3-A7CE76AB1BD2}"/>
            </c:ext>
          </c:extLst>
        </c:ser>
        <c:ser>
          <c:idx val="34"/>
          <c:order val="34"/>
          <c:tx>
            <c:v>Criar gestão a vista da Estratégia da Prospera para os acionistas e investidores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8-EBA1-4B25-98C3-A7CE76AB1BD2}"/>
            </c:ext>
          </c:extLst>
        </c:ser>
        <c:ser>
          <c:idx val="35"/>
          <c:order val="35"/>
          <c:tx>
            <c:v>Focar no plano de captação financeira para Prospera</c:v>
          </c:tx>
          <c:xVal>
            <c:numLit>
              <c:formatCode>General</c:formatCode>
              <c:ptCount val="1"/>
              <c:pt idx="0">
                <c:v>8</c:v>
              </c:pt>
            </c:numLit>
          </c:xVal>
          <c:yVal>
            <c:numLit>
              <c:formatCode>General</c:formatCode>
              <c:ptCount val="1"/>
              <c:pt idx="0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9-EBA1-4B25-98C3-A7CE76AB1BD2}"/>
            </c:ext>
          </c:extLst>
        </c:ser>
        <c:ser>
          <c:idx val="36"/>
          <c:order val="36"/>
          <c:tx>
            <c:v>Desenvolver um  módulo de DRE por cliente</c:v>
          </c:tx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Lit>
              <c:formatCode>General</c:formatCode>
              <c:ptCount val="1"/>
              <c:pt idx="0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A-EBA1-4B25-98C3-A7CE76AB1BD2}"/>
            </c:ext>
          </c:extLst>
        </c:ser>
        <c:ser>
          <c:idx val="37"/>
          <c:order val="37"/>
          <c:tx>
            <c:v>Criar o dia da prosperidade - Trabalho comunitário (melhora visibilidade) - todo dia 01/10</c:v>
          </c:tx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B-EBA1-4B25-98C3-A7CE76AB1BD2}"/>
            </c:ext>
          </c:extLst>
        </c:ser>
        <c:ser>
          <c:idx val="38"/>
          <c:order val="38"/>
          <c:tx>
            <c:v>Criar recorrência mensal de capacitação dos colaboradores com foco nos produtos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C-EBA1-4B25-98C3-A7CE76AB1BD2}"/>
            </c:ext>
          </c:extLst>
        </c:ser>
        <c:ser>
          <c:idx val="39"/>
          <c:order val="39"/>
          <c:tx>
            <c:v>Cross areas</c:v>
          </c:tx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Lit>
              <c:formatCode>General</c:formatCode>
              <c:ptCount val="1"/>
              <c:pt idx="0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D-EBA1-4B25-98C3-A7CE76AB1BD2}"/>
            </c:ext>
          </c:extLst>
        </c:ser>
        <c:ser>
          <c:idx val="40"/>
          <c:order val="40"/>
          <c:tx>
            <c:v>Implantar politica de one a one de avaliação</c:v>
          </c:tx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Lit>
              <c:formatCode>General</c:formatCode>
              <c:ptCount val="1"/>
              <c:pt idx="0">
                <c:v>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E-EBA1-4B25-98C3-A7CE76AB1BD2}"/>
            </c:ext>
          </c:extLst>
        </c:ser>
        <c:ser>
          <c:idx val="41"/>
          <c:order val="41"/>
          <c:tx>
            <c:v>Ajustar o processo de iniciativas, planejamento, melhorias e entrega de demandas ponderado pelos Drivers Estratégicos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F-EBA1-4B25-98C3-A7CE76AB1BD2}"/>
            </c:ext>
          </c:extLst>
        </c:ser>
        <c:ser>
          <c:idx val="42"/>
          <c:order val="42"/>
          <c:tx>
            <c:v>Gestão a vista: Montar um dash com uma visão dos drivers e projetos para todos acompanharem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0-EBA1-4B25-98C3-A7CE76AB1BD2}"/>
            </c:ext>
          </c:extLst>
        </c:ser>
        <c:ser>
          <c:idx val="43"/>
          <c:order val="43"/>
          <c:tx>
            <c:v>Desenvolver o relatório de conciliação financeira por usina</c:v>
          </c:tx>
          <c:xVal>
            <c:numLit>
              <c:formatCode>General</c:formatCode>
              <c:ptCount val="1"/>
              <c:pt idx="0">
                <c:v>13</c:v>
              </c:pt>
            </c:numLit>
          </c:xVal>
          <c:yVal>
            <c:numLit>
              <c:formatCode>General</c:formatCode>
              <c:ptCount val="1"/>
              <c:pt idx="0">
                <c:v>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1-EBA1-4B25-98C3-A7CE76AB1BD2}"/>
            </c:ext>
          </c:extLst>
        </c:ser>
        <c:ser>
          <c:idx val="44"/>
          <c:order val="44"/>
          <c:tx>
            <c:v>Unificar o pagamento da conta de luz dos clientes com a fatura da energia verde, com pontos ecoa.</c:v>
          </c:tx>
          <c:xVal>
            <c:numLit>
              <c:formatCode>General</c:formatCode>
              <c:ptCount val="1"/>
              <c:pt idx="0">
                <c:v>15</c:v>
              </c:pt>
            </c:numLit>
          </c:xVal>
          <c:yVal>
            <c:numLit>
              <c:formatCode>General</c:formatCode>
              <c:ptCount val="1"/>
              <c:pt idx="0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2-EBA1-4B25-98C3-A7CE76AB1BD2}"/>
            </c:ext>
          </c:extLst>
        </c:ser>
        <c:ser>
          <c:idx val="45"/>
          <c:order val="45"/>
          <c:tx>
            <c:v>Garantir que grandes contratos ajudem na comercialização de energia verda </c:v>
          </c:tx>
          <c:xVal>
            <c:numLit>
              <c:formatCode>General</c:formatCode>
              <c:ptCount val="1"/>
              <c:pt idx="0">
                <c:v>14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3-EBA1-4B25-98C3-A7CE76AB1BD2}"/>
            </c:ext>
          </c:extLst>
        </c:ser>
        <c:ser>
          <c:idx val="46"/>
          <c:order val="46"/>
          <c:tx>
            <c:v>Buscar cliente de forma ativa através de CS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4-EBA1-4B25-98C3-A7CE76AB1BD2}"/>
            </c:ext>
          </c:extLst>
        </c:ser>
        <c:ser>
          <c:idx val="47"/>
          <c:order val="47"/>
          <c:tx>
            <c:v>Melhorar atendimento no pós venda </c:v>
          </c:tx>
          <c:xVal>
            <c:numLit>
              <c:formatCode>General</c:formatCode>
              <c:ptCount val="1"/>
              <c:pt idx="0">
                <c:v>8</c:v>
              </c:pt>
            </c:numLit>
          </c:xVal>
          <c:yVal>
            <c:numLit>
              <c:formatCode>General</c:formatCode>
              <c:ptCount val="1"/>
              <c:pt idx="0">
                <c:v>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5-EBA1-4B25-98C3-A7CE76AB1BD2}"/>
            </c:ext>
          </c:extLst>
        </c:ser>
        <c:ser>
          <c:idx val="48"/>
          <c:order val="48"/>
          <c:tx>
            <c:v>Aumentar a quantidade de RCA´s para trazer mais capilaridade às vendas</c:v>
          </c:tx>
          <c:xVal>
            <c:numLit>
              <c:formatCode>General</c:formatCode>
              <c:ptCount val="1"/>
              <c:pt idx="0">
                <c:v>11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6-EBA1-4B25-98C3-A7CE76AB1BD2}"/>
            </c:ext>
          </c:extLst>
        </c:ser>
        <c:ser>
          <c:idx val="49"/>
          <c:order val="49"/>
          <c:tx>
            <c:v>Aumento da força de venda inside sales</c:v>
          </c:tx>
          <c:xVal>
            <c:numLit>
              <c:formatCode>General</c:formatCode>
              <c:ptCount val="1"/>
              <c:pt idx="0">
                <c:v>6</c:v>
              </c:pt>
            </c:numLit>
          </c:xVal>
          <c:yVal>
            <c:numLit>
              <c:formatCode>General</c:formatCode>
              <c:ptCount val="1"/>
              <c:pt idx="0">
                <c:v>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EBA1-4B25-98C3-A7CE76AB1BD2}"/>
            </c:ext>
          </c:extLst>
        </c:ser>
        <c:ser>
          <c:idx val="50"/>
          <c:order val="50"/>
          <c:tx>
            <c:v>Criar time de retenção</c:v>
          </c:tx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Lit>
              <c:formatCode>General</c:formatCode>
              <c:ptCount val="1"/>
              <c:pt idx="0">
                <c:v>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8-EBA1-4B25-98C3-A7CE76AB1BD2}"/>
            </c:ext>
          </c:extLst>
        </c:ser>
        <c:ser>
          <c:idx val="51"/>
          <c:order val="51"/>
          <c:tx>
            <c:v>Criar departamento de canais - criar canais de venda de anúncios (Soul Up)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9-EBA1-4B25-98C3-A7CE76AB1BD2}"/>
            </c:ext>
          </c:extLst>
        </c:ser>
        <c:ser>
          <c:idx val="52"/>
          <c:order val="52"/>
          <c:tx>
            <c:v>Performar os contratos B2B Interpreise</c:v>
          </c:tx>
          <c:xVal>
            <c:numLit>
              <c:formatCode>General</c:formatCode>
              <c:ptCount val="1"/>
              <c:pt idx="0">
                <c:v>9</c:v>
              </c:pt>
            </c:numLit>
          </c:xVal>
          <c:yVal>
            <c:numLit>
              <c:formatCode>General</c:formatCode>
              <c:ptCount val="1"/>
              <c:pt idx="0">
                <c:v>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A-EBA1-4B25-98C3-A7CE76AB1BD2}"/>
            </c:ext>
          </c:extLst>
        </c:ser>
        <c:ser>
          <c:idx val="53"/>
          <c:order val="53"/>
          <c:tx>
            <c:v>Definir a estratégia de atendimento por tipo de produto : ter um fluxo de canal de pontos de contato do cliente (Pontos Ecoa, Soul up e Energia Verde) publicados</c:v>
          </c:tx>
          <c:xVal>
            <c:numLit>
              <c:formatCode>General</c:formatCode>
              <c:ptCount val="1"/>
              <c:pt idx="0">
                <c:v>12</c:v>
              </c:pt>
            </c:numLit>
          </c:xVal>
          <c:yVal>
            <c:numLit>
              <c:formatCode>General</c:formatCode>
              <c:ptCount val="1"/>
              <c:pt idx="0">
                <c:v>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B-EBA1-4B25-98C3-A7CE76AB1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40496"/>
        <c:axId val="278038528"/>
      </c:scatterChart>
      <c:valAx>
        <c:axId val="278040496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278038528"/>
        <c:crosses val="autoZero"/>
        <c:crossBetween val="midCat"/>
        <c:majorUnit val="1"/>
        <c:minorUnit val="1"/>
      </c:valAx>
      <c:valAx>
        <c:axId val="278038528"/>
        <c:scaling>
          <c:orientation val="minMax"/>
          <c:max val="2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78040496"/>
        <c:crosses val="autoZero"/>
        <c:crossBetween val="midCat"/>
        <c:majorUnit val="1"/>
        <c:minorUnit val="1"/>
      </c:valAx>
    </c:plotArea>
    <c:plotVisOnly val="1"/>
    <c:dispBlanksAs val="gap"/>
    <c:showDLblsOverMax val="0"/>
    <c:extLst/>
  </c:chart>
  <c:spPr>
    <a:noFill/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'Iniciativas 2026'!C11"/><Relationship Id="rId1" Type="http://schemas.openxmlformats.org/officeDocument/2006/relationships/image" Target="../media/image1.png"/><Relationship Id="rId6" Type="http://schemas.openxmlformats.org/officeDocument/2006/relationships/hyperlink" Target="#Monitoramento!G3"/><Relationship Id="rId5" Type="http://schemas.openxmlformats.org/officeDocument/2006/relationships/image" Target="../media/image3.png"/><Relationship Id="rId4" Type="http://schemas.openxmlformats.org/officeDocument/2006/relationships/hyperlink" Target="#'Painel - Cockpit'!N3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1.png"/><Relationship Id="rId7" Type="http://schemas.openxmlformats.org/officeDocument/2006/relationships/image" Target="../media/image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Pilares!B15"/><Relationship Id="rId5" Type="http://schemas.openxmlformats.org/officeDocument/2006/relationships/image" Target="../media/image7.svg"/><Relationship Id="rId4" Type="http://schemas.openxmlformats.org/officeDocument/2006/relationships/image" Target="../media/image6.png"/><Relationship Id="rId9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chart" Target="../charts/chart4.xml"/><Relationship Id="rId7" Type="http://schemas.openxmlformats.org/officeDocument/2006/relationships/image" Target="../media/image8.png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6" Type="http://schemas.openxmlformats.org/officeDocument/2006/relationships/hyperlink" Target="#Pilares!B15"/><Relationship Id="rId5" Type="http://schemas.openxmlformats.org/officeDocument/2006/relationships/image" Target="../media/image1.png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Pilares!B15"/><Relationship Id="rId1" Type="http://schemas.openxmlformats.org/officeDocument/2006/relationships/image" Target="../media/image1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22</xdr:row>
      <xdr:rowOff>53340</xdr:rowOff>
    </xdr:from>
    <xdr:to>
      <xdr:col>2</xdr:col>
      <xdr:colOff>68580</xdr:colOff>
      <xdr:row>26</xdr:row>
      <xdr:rowOff>144780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1C6F8816-A991-40AA-AF89-30F01D35B84A}"/>
            </a:ext>
          </a:extLst>
        </xdr:cNvPr>
        <xdr:cNvGrpSpPr/>
      </xdr:nvGrpSpPr>
      <xdr:grpSpPr>
        <a:xfrm>
          <a:off x="259080" y="4034790"/>
          <a:ext cx="990600" cy="815340"/>
          <a:chOff x="5928360" y="1135380"/>
          <a:chExt cx="1028700" cy="822960"/>
        </a:xfrm>
      </xdr:grpSpPr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1E0AA187-5902-C52A-B90C-7B4D2D5E230B}"/>
              </a:ext>
            </a:extLst>
          </xdr:cNvPr>
          <xdr:cNvSpPr txBox="1"/>
        </xdr:nvSpPr>
        <xdr:spPr>
          <a:xfrm>
            <a:off x="5935980" y="1135380"/>
            <a:ext cx="1021080" cy="5105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Total de</a:t>
            </a:r>
            <a:r>
              <a:rPr lang="pt-BR" sz="1100" baseline="0"/>
              <a:t> Iniciativas</a:t>
            </a:r>
            <a:endParaRPr lang="pt-BR" sz="1100"/>
          </a:p>
        </xdr:txBody>
      </xdr:sp>
      <xdr:sp macro="" textlink="Apoio!D2">
        <xdr:nvSpPr>
          <xdr:cNvPr id="67" name="CaixaDeTexto 66">
            <a:extLst>
              <a:ext uri="{FF2B5EF4-FFF2-40B4-BE49-F238E27FC236}">
                <a16:creationId xmlns:a16="http://schemas.microsoft.com/office/drawing/2014/main" id="{40761AD4-D549-09A9-3085-1100C2B376C1}"/>
              </a:ext>
            </a:extLst>
          </xdr:cNvPr>
          <xdr:cNvSpPr txBox="1"/>
        </xdr:nvSpPr>
        <xdr:spPr>
          <a:xfrm>
            <a:off x="5928360" y="1531620"/>
            <a:ext cx="64770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B97F8A7-EF55-4126-8F39-E3847EEDFB86}" type="TxLink">
              <a:rPr lang="en-US" sz="20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56</a:t>
            </a:fld>
            <a:endParaRPr lang="pt-BR" sz="4000" b="1">
              <a:solidFill>
                <a:schemeClr val="tx1"/>
              </a:solidFill>
            </a:endParaRPr>
          </a:p>
        </xdr:txBody>
      </xdr:sp>
      <xdr:cxnSp macro="">
        <xdr:nvCxnSpPr>
          <xdr:cNvPr id="68" name="Conector reto 67">
            <a:extLst>
              <a:ext uri="{FF2B5EF4-FFF2-40B4-BE49-F238E27FC236}">
                <a16:creationId xmlns:a16="http://schemas.microsoft.com/office/drawing/2014/main" id="{EC49E5B9-DF72-8CC4-5766-37C7DF07767C}"/>
              </a:ext>
            </a:extLst>
          </xdr:cNvPr>
          <xdr:cNvCxnSpPr/>
        </xdr:nvCxnSpPr>
        <xdr:spPr>
          <a:xfrm flipH="1">
            <a:off x="5996940" y="1562100"/>
            <a:ext cx="7924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274320</xdr:colOff>
      <xdr:row>12</xdr:row>
      <xdr:rowOff>106680</xdr:rowOff>
    </xdr:from>
    <xdr:to>
      <xdr:col>3</xdr:col>
      <xdr:colOff>575310</xdr:colOff>
      <xdr:row>18</xdr:row>
      <xdr:rowOff>45720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5DED2DC-75DD-BC83-5444-5D4D244530F1}"/>
            </a:ext>
          </a:extLst>
        </xdr:cNvPr>
        <xdr:cNvGrpSpPr/>
      </xdr:nvGrpSpPr>
      <xdr:grpSpPr>
        <a:xfrm>
          <a:off x="274320" y="2278380"/>
          <a:ext cx="2072640" cy="1024890"/>
          <a:chOff x="2613660" y="1440180"/>
          <a:chExt cx="1615440" cy="891540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19B37224-6C50-E653-EE78-8BC378B17F50}"/>
              </a:ext>
            </a:extLst>
          </xdr:cNvPr>
          <xdr:cNvSpPr/>
        </xdr:nvSpPr>
        <xdr:spPr>
          <a:xfrm>
            <a:off x="2613660" y="1440180"/>
            <a:ext cx="1615440" cy="89154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882482F2-9B6D-5471-B02B-6FA3246E9674}"/>
              </a:ext>
            </a:extLst>
          </xdr:cNvPr>
          <xdr:cNvSpPr txBox="1"/>
        </xdr:nvSpPr>
        <xdr:spPr>
          <a:xfrm>
            <a:off x="2628900" y="1485900"/>
            <a:ext cx="157734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P1</a:t>
            </a:r>
          </a:p>
          <a:p>
            <a:pPr algn="ctr"/>
            <a:r>
              <a:rPr lang="pt-BR" sz="1600" b="1">
                <a:solidFill>
                  <a:schemeClr val="bg1"/>
                </a:solidFill>
              </a:rPr>
              <a:t>Encantar os Clientes</a:t>
            </a:r>
          </a:p>
        </xdr:txBody>
      </xdr:sp>
    </xdr:grpSp>
    <xdr:clientData/>
  </xdr:twoCellAnchor>
  <xdr:twoCellAnchor>
    <xdr:from>
      <xdr:col>4</xdr:col>
      <xdr:colOff>106045</xdr:colOff>
      <xdr:row>12</xdr:row>
      <xdr:rowOff>114302</xdr:rowOff>
    </xdr:from>
    <xdr:to>
      <xdr:col>7</xdr:col>
      <xdr:colOff>407035</xdr:colOff>
      <xdr:row>18</xdr:row>
      <xdr:rowOff>3909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BCAF325-CB74-4186-A39A-D68B099381E3}"/>
            </a:ext>
          </a:extLst>
        </xdr:cNvPr>
        <xdr:cNvGrpSpPr/>
      </xdr:nvGrpSpPr>
      <xdr:grpSpPr>
        <a:xfrm>
          <a:off x="2468245" y="2286002"/>
          <a:ext cx="2072640" cy="975457"/>
          <a:chOff x="2613660" y="1440181"/>
          <a:chExt cx="1615440" cy="845819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34889CD-C7E2-7593-0DCC-BDC98C04F37D}"/>
              </a:ext>
            </a:extLst>
          </xdr:cNvPr>
          <xdr:cNvSpPr/>
        </xdr:nvSpPr>
        <xdr:spPr>
          <a:xfrm>
            <a:off x="2613660" y="1440181"/>
            <a:ext cx="1615440" cy="672063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/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5A9772B1-3C8A-7E82-B193-E7FE7C5DC59E}"/>
              </a:ext>
            </a:extLst>
          </xdr:cNvPr>
          <xdr:cNvSpPr txBox="1"/>
        </xdr:nvSpPr>
        <xdr:spPr>
          <a:xfrm>
            <a:off x="2628900" y="1485900"/>
            <a:ext cx="157734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P2</a:t>
            </a:r>
          </a:p>
          <a:p>
            <a:pPr algn="ctr"/>
            <a:r>
              <a:rPr lang="pt-BR" sz="1600" b="1">
                <a:solidFill>
                  <a:schemeClr val="bg1"/>
                </a:solidFill>
              </a:rPr>
              <a:t>Alta Rantabilidade</a:t>
            </a:r>
          </a:p>
        </xdr:txBody>
      </xdr:sp>
    </xdr:grpSp>
    <xdr:clientData/>
  </xdr:twoCellAnchor>
  <xdr:twoCellAnchor>
    <xdr:from>
      <xdr:col>0</xdr:col>
      <xdr:colOff>167640</xdr:colOff>
      <xdr:row>9</xdr:row>
      <xdr:rowOff>76200</xdr:rowOff>
    </xdr:from>
    <xdr:to>
      <xdr:col>6</xdr:col>
      <xdr:colOff>520700</xdr:colOff>
      <xdr:row>11</xdr:row>
      <xdr:rowOff>76200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4B2DC233-F574-C986-0889-16D255AAC400}"/>
            </a:ext>
          </a:extLst>
        </xdr:cNvPr>
        <xdr:cNvSpPr txBox="1"/>
      </xdr:nvSpPr>
      <xdr:spPr>
        <a:xfrm>
          <a:off x="167640" y="2470150"/>
          <a:ext cx="401066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accent1">
                  <a:lumMod val="50000"/>
                </a:schemeClr>
              </a:solidFill>
            </a:rPr>
            <a:t>PILARES QUE SUSTENTAM A ESTRATÉGIA</a:t>
          </a:r>
        </a:p>
      </xdr:txBody>
    </xdr:sp>
    <xdr:clientData/>
  </xdr:twoCellAnchor>
  <xdr:twoCellAnchor>
    <xdr:from>
      <xdr:col>7</xdr:col>
      <xdr:colOff>541655</xdr:colOff>
      <xdr:row>12</xdr:row>
      <xdr:rowOff>123825</xdr:rowOff>
    </xdr:from>
    <xdr:to>
      <xdr:col>11</xdr:col>
      <xdr:colOff>231140</xdr:colOff>
      <xdr:row>18</xdr:row>
      <xdr:rowOff>4396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FC919C8-8924-4E18-9C5B-13D8A14A8978}"/>
            </a:ext>
          </a:extLst>
        </xdr:cNvPr>
        <xdr:cNvGrpSpPr/>
      </xdr:nvGrpSpPr>
      <xdr:grpSpPr>
        <a:xfrm>
          <a:off x="4675505" y="2295525"/>
          <a:ext cx="2051685" cy="966421"/>
          <a:chOff x="2613660" y="1440180"/>
          <a:chExt cx="1615440" cy="845820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F3B849E-C3EA-C90F-AE52-A3569AD409FD}"/>
              </a:ext>
            </a:extLst>
          </xdr:cNvPr>
          <xdr:cNvSpPr/>
        </xdr:nvSpPr>
        <xdr:spPr>
          <a:xfrm>
            <a:off x="2613660" y="1440180"/>
            <a:ext cx="1615440" cy="663152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C95F7107-BB99-4AE4-AC88-1B42A31C425E}"/>
              </a:ext>
            </a:extLst>
          </xdr:cNvPr>
          <xdr:cNvSpPr txBox="1"/>
        </xdr:nvSpPr>
        <xdr:spPr>
          <a:xfrm>
            <a:off x="2628900" y="1485900"/>
            <a:ext cx="157734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>
                <a:solidFill>
                  <a:schemeClr val="bg1"/>
                </a:solidFill>
              </a:rPr>
              <a:t>P3</a:t>
            </a:r>
          </a:p>
          <a:p>
            <a:pPr algn="ctr"/>
            <a:r>
              <a:rPr lang="pt-BR" sz="1600" b="1">
                <a:solidFill>
                  <a:schemeClr val="bg1"/>
                </a:solidFill>
              </a:rPr>
              <a:t>Capital com Foco</a:t>
            </a:r>
          </a:p>
        </xdr:txBody>
      </xdr:sp>
    </xdr:grpSp>
    <xdr:clientData/>
  </xdr:twoCellAnchor>
  <xdr:twoCellAnchor>
    <xdr:from>
      <xdr:col>0</xdr:col>
      <xdr:colOff>180791</xdr:colOff>
      <xdr:row>2</xdr:row>
      <xdr:rowOff>142875</xdr:rowOff>
    </xdr:from>
    <xdr:to>
      <xdr:col>12</xdr:col>
      <xdr:colOff>44450</xdr:colOff>
      <xdr:row>9</xdr:row>
      <xdr:rowOff>24384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407E9FB8-53A0-4791-BA87-809D10371755}"/>
            </a:ext>
          </a:extLst>
        </xdr:cNvPr>
        <xdr:cNvSpPr txBox="1"/>
      </xdr:nvSpPr>
      <xdr:spPr>
        <a:xfrm>
          <a:off x="180791" y="508635"/>
          <a:ext cx="7178859" cy="1161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800" b="0" i="1">
              <a:solidFill>
                <a:schemeClr val="accent1">
                  <a:lumMod val="50000"/>
                </a:schemeClr>
              </a:solidFill>
            </a:rPr>
            <a:t>Propósito:</a:t>
          </a:r>
        </a:p>
        <a:p>
          <a:pPr algn="l"/>
          <a:r>
            <a:rPr lang="pt-BR" sz="2000" b="1" i="1">
              <a:solidFill>
                <a:srgbClr val="00B050"/>
              </a:solidFill>
            </a:rPr>
            <a:t>Zerar</a:t>
          </a:r>
          <a:r>
            <a:rPr lang="pt-BR" sz="1800" b="0" i="1">
              <a:solidFill>
                <a:schemeClr val="accent1">
                  <a:lumMod val="50000"/>
                </a:schemeClr>
              </a:solidFill>
            </a:rPr>
            <a:t> a conta de luz das pessoas e transformar o consumo em impacto positivo, econômico, social e ambiental</a:t>
          </a:r>
        </a:p>
      </xdr:txBody>
    </xdr:sp>
    <xdr:clientData/>
  </xdr:twoCellAnchor>
  <xdr:twoCellAnchor>
    <xdr:from>
      <xdr:col>0</xdr:col>
      <xdr:colOff>285759</xdr:colOff>
      <xdr:row>11</xdr:row>
      <xdr:rowOff>6803</xdr:rowOff>
    </xdr:from>
    <xdr:to>
      <xdr:col>13</xdr:col>
      <xdr:colOff>59023</xdr:colOff>
      <xdr:row>11</xdr:row>
      <xdr:rowOff>40821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9EA933D2-68A0-4668-8201-C7E3FB9F2618}"/>
            </a:ext>
          </a:extLst>
        </xdr:cNvPr>
        <xdr:cNvCxnSpPr/>
      </xdr:nvCxnSpPr>
      <xdr:spPr>
        <a:xfrm flipH="1">
          <a:off x="285759" y="2027464"/>
          <a:ext cx="7733443" cy="340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92275</xdr:colOff>
      <xdr:row>16</xdr:row>
      <xdr:rowOff>170498</xdr:rowOff>
    </xdr:from>
    <xdr:to>
      <xdr:col>7</xdr:col>
      <xdr:colOff>437922</xdr:colOff>
      <xdr:row>21</xdr:row>
      <xdr:rowOff>167640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2D72ABA0-1DBC-4073-B9CA-4FD31AA6BC91}"/>
            </a:ext>
          </a:extLst>
        </xdr:cNvPr>
        <xdr:cNvGrpSpPr/>
      </xdr:nvGrpSpPr>
      <xdr:grpSpPr>
        <a:xfrm>
          <a:off x="2454475" y="3066098"/>
          <a:ext cx="2117297" cy="902017"/>
          <a:chOff x="2605373" y="1118173"/>
          <a:chExt cx="1655093" cy="115602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B7E84C55-42E3-452D-19F3-05D98AEB985D}"/>
              </a:ext>
            </a:extLst>
          </xdr:cNvPr>
          <xdr:cNvSpPr/>
        </xdr:nvSpPr>
        <xdr:spPr>
          <a:xfrm>
            <a:off x="2613660" y="1118173"/>
            <a:ext cx="1615440" cy="1156028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702573EA-7423-0459-BA43-54C838E722F1}"/>
              </a:ext>
            </a:extLst>
          </xdr:cNvPr>
          <xdr:cNvSpPr txBox="1"/>
        </xdr:nvSpPr>
        <xdr:spPr>
          <a:xfrm>
            <a:off x="2605373" y="1133501"/>
            <a:ext cx="1655093" cy="114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0">
                <a:solidFill>
                  <a:schemeClr val="accent1">
                    <a:lumMod val="50000"/>
                  </a:schemeClr>
                </a:solidFill>
              </a:rPr>
              <a:t>Visibilidade e retorno aos investidores</a:t>
            </a:r>
          </a:p>
        </xdr:txBody>
      </xdr:sp>
    </xdr:grpSp>
    <xdr:clientData/>
  </xdr:twoCellAnchor>
  <xdr:twoCellAnchor>
    <xdr:from>
      <xdr:col>0</xdr:col>
      <xdr:colOff>274044</xdr:colOff>
      <xdr:row>16</xdr:row>
      <xdr:rowOff>170498</xdr:rowOff>
    </xdr:from>
    <xdr:to>
      <xdr:col>3</xdr:col>
      <xdr:colOff>585105</xdr:colOff>
      <xdr:row>21</xdr:row>
      <xdr:rowOff>171450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E673CE9B-F1B6-4C6E-B991-153934DE548D}"/>
            </a:ext>
          </a:extLst>
        </xdr:cNvPr>
        <xdr:cNvGrpSpPr/>
      </xdr:nvGrpSpPr>
      <xdr:grpSpPr>
        <a:xfrm>
          <a:off x="274044" y="3066098"/>
          <a:ext cx="2082711" cy="905827"/>
          <a:chOff x="2613215" y="1122973"/>
          <a:chExt cx="1665645" cy="115122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738086E9-D2EE-28A3-2F25-E91A3B435D5D}"/>
              </a:ext>
            </a:extLst>
          </xdr:cNvPr>
          <xdr:cNvSpPr/>
        </xdr:nvSpPr>
        <xdr:spPr>
          <a:xfrm>
            <a:off x="2613660" y="1122973"/>
            <a:ext cx="1665200" cy="1151228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000"/>
          </a:p>
        </xdr:txBody>
      </xdr:sp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6856047C-848C-5014-C2F3-970D728E6F02}"/>
              </a:ext>
            </a:extLst>
          </xdr:cNvPr>
          <xdr:cNvSpPr txBox="1"/>
        </xdr:nvSpPr>
        <xdr:spPr>
          <a:xfrm>
            <a:off x="2613215" y="1178175"/>
            <a:ext cx="1628717" cy="107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0">
                <a:solidFill>
                  <a:schemeClr val="accent1">
                    <a:lumMod val="50000"/>
                  </a:schemeClr>
                </a:solidFill>
              </a:rPr>
              <a:t>Atingir</a:t>
            </a:r>
            <a:r>
              <a:rPr lang="pt-BR" sz="1400" b="0" baseline="0">
                <a:solidFill>
                  <a:schemeClr val="accent1">
                    <a:lumMod val="50000"/>
                  </a:schemeClr>
                </a:solidFill>
              </a:rPr>
              <a:t> 100% de descontos na conta de luz</a:t>
            </a:r>
            <a:endParaRPr lang="pt-BR" sz="1400" b="0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531813</xdr:colOff>
      <xdr:row>16</xdr:row>
      <xdr:rowOff>160654</xdr:rowOff>
    </xdr:from>
    <xdr:to>
      <xdr:col>11</xdr:col>
      <xdr:colOff>350727</xdr:colOff>
      <xdr:row>21</xdr:row>
      <xdr:rowOff>174940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EFDD2337-2AE8-49E2-ABA4-93CA2C47D3D8}"/>
            </a:ext>
          </a:extLst>
        </xdr:cNvPr>
        <xdr:cNvGrpSpPr/>
      </xdr:nvGrpSpPr>
      <xdr:grpSpPr>
        <a:xfrm>
          <a:off x="4665663" y="3056254"/>
          <a:ext cx="2181114" cy="919161"/>
          <a:chOff x="2599975" y="1092167"/>
          <a:chExt cx="1716443" cy="1182034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76451101-1BE1-1A31-601A-0B8828C0D1D6}"/>
              </a:ext>
            </a:extLst>
          </xdr:cNvPr>
          <xdr:cNvSpPr/>
        </xdr:nvSpPr>
        <xdr:spPr>
          <a:xfrm>
            <a:off x="2613660" y="1092167"/>
            <a:ext cx="1615440" cy="1182034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000"/>
          </a:p>
        </xdr:txBody>
      </xdr: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A33735E3-6053-4D52-F184-BEE2B20F2FE6}"/>
              </a:ext>
            </a:extLst>
          </xdr:cNvPr>
          <xdr:cNvSpPr txBox="1"/>
        </xdr:nvSpPr>
        <xdr:spPr>
          <a:xfrm>
            <a:off x="2599975" y="1096994"/>
            <a:ext cx="1716443" cy="11772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0">
                <a:solidFill>
                  <a:schemeClr val="accent1">
                    <a:lumMod val="50000"/>
                  </a:schemeClr>
                </a:solidFill>
              </a:rPr>
              <a:t>Geração de caixa e investimento</a:t>
            </a:r>
          </a:p>
        </xdr:txBody>
      </xdr:sp>
    </xdr:grpSp>
    <xdr:clientData/>
  </xdr:twoCellAnchor>
  <xdr:twoCellAnchor>
    <xdr:from>
      <xdr:col>11</xdr:col>
      <xdr:colOff>325755</xdr:colOff>
      <xdr:row>12</xdr:row>
      <xdr:rowOff>67584</xdr:rowOff>
    </xdr:from>
    <xdr:to>
      <xdr:col>13</xdr:col>
      <xdr:colOff>302895</xdr:colOff>
      <xdr:row>16</xdr:row>
      <xdr:rowOff>79014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98A6CF42-E041-2519-177E-3D582F194274}"/>
            </a:ext>
          </a:extLst>
        </xdr:cNvPr>
        <xdr:cNvGrpSpPr/>
      </xdr:nvGrpSpPr>
      <xdr:grpSpPr>
        <a:xfrm>
          <a:off x="6821805" y="2239284"/>
          <a:ext cx="1158240" cy="735330"/>
          <a:chOff x="5935980" y="1009628"/>
          <a:chExt cx="1196340" cy="925852"/>
        </a:xfrm>
      </xdr:grpSpPr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7AF6BE4B-FE8C-4F09-1765-96072291B7F2}"/>
              </a:ext>
            </a:extLst>
          </xdr:cNvPr>
          <xdr:cNvSpPr txBox="1"/>
        </xdr:nvSpPr>
        <xdr:spPr>
          <a:xfrm>
            <a:off x="5935980" y="1009628"/>
            <a:ext cx="1021080" cy="6362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Total Geral de</a:t>
            </a:r>
            <a:r>
              <a:rPr lang="pt-BR" sz="1100" baseline="0"/>
              <a:t> Iniciativas</a:t>
            </a:r>
            <a:endParaRPr lang="pt-BR" sz="1100"/>
          </a:p>
        </xdr:txBody>
      </xdr:sp>
      <xdr:sp macro="" textlink="Apoio!B29">
        <xdr:nvSpPr>
          <xdr:cNvPr id="59" name="CaixaDeTexto 58">
            <a:extLst>
              <a:ext uri="{FF2B5EF4-FFF2-40B4-BE49-F238E27FC236}">
                <a16:creationId xmlns:a16="http://schemas.microsoft.com/office/drawing/2014/main" id="{196723BD-86AF-0F8F-8DE7-277BBB87AD92}"/>
              </a:ext>
            </a:extLst>
          </xdr:cNvPr>
          <xdr:cNvSpPr txBox="1"/>
        </xdr:nvSpPr>
        <xdr:spPr>
          <a:xfrm>
            <a:off x="6096000" y="1508760"/>
            <a:ext cx="103632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815C8AE-3260-4F49-AE5B-C78C67CA7FEB}" type="TxLink">
              <a:rPr lang="en-US" sz="1800" b="1" i="0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rPr>
              <a:pPr/>
              <a:t>67</a:t>
            </a:fld>
            <a:endParaRPr lang="pt-BR" sz="6000" b="1">
              <a:solidFill>
                <a:schemeClr val="tx1"/>
              </a:solidFill>
            </a:endParaRPr>
          </a:p>
        </xdr:txBody>
      </xdr:sp>
      <xdr:cxnSp macro="">
        <xdr:nvCxnSpPr>
          <xdr:cNvPr id="60" name="Conector reto 59">
            <a:extLst>
              <a:ext uri="{FF2B5EF4-FFF2-40B4-BE49-F238E27FC236}">
                <a16:creationId xmlns:a16="http://schemas.microsoft.com/office/drawing/2014/main" id="{06B5E6DB-C6ED-4C87-B29D-28C85D429EC0}"/>
              </a:ext>
            </a:extLst>
          </xdr:cNvPr>
          <xdr:cNvCxnSpPr/>
        </xdr:nvCxnSpPr>
        <xdr:spPr>
          <a:xfrm flipH="1">
            <a:off x="5996940" y="1562100"/>
            <a:ext cx="8001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129540</xdr:colOff>
      <xdr:row>24</xdr:row>
      <xdr:rowOff>152400</xdr:rowOff>
    </xdr:from>
    <xdr:to>
      <xdr:col>1</xdr:col>
      <xdr:colOff>129540</xdr:colOff>
      <xdr:row>26</xdr:row>
      <xdr:rowOff>30480</xdr:rowOff>
    </xdr:to>
    <xdr:cxnSp macro="">
      <xdr:nvCxnSpPr>
        <xdr:cNvPr id="85" name="Conector reto 84">
          <a:extLst>
            <a:ext uri="{FF2B5EF4-FFF2-40B4-BE49-F238E27FC236}">
              <a16:creationId xmlns:a16="http://schemas.microsoft.com/office/drawing/2014/main" id="{CE55B1DC-3557-48B3-B73D-9EEC8AEBDD12}"/>
            </a:ext>
          </a:extLst>
        </xdr:cNvPr>
        <xdr:cNvCxnSpPr/>
      </xdr:nvCxnSpPr>
      <xdr:spPr>
        <a:xfrm flipV="1">
          <a:off x="739140" y="4724400"/>
          <a:ext cx="0" cy="24384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144780</xdr:colOff>
      <xdr:row>25</xdr:row>
      <xdr:rowOff>7620</xdr:rowOff>
    </xdr:from>
    <xdr:to>
      <xdr:col>2</xdr:col>
      <xdr:colOff>182880</xdr:colOff>
      <xdr:row>26</xdr:row>
      <xdr:rowOff>152400</xdr:rowOff>
    </xdr:to>
    <xdr:sp macro="" textlink="Apoio!E2">
      <xdr:nvSpPr>
        <xdr:cNvPr id="89" name="CaixaDeTexto 88">
          <a:extLst>
            <a:ext uri="{FF2B5EF4-FFF2-40B4-BE49-F238E27FC236}">
              <a16:creationId xmlns:a16="http://schemas.microsoft.com/office/drawing/2014/main" id="{0A20CF41-0581-4463-9FA3-F9CB79BCBEE2}"/>
            </a:ext>
          </a:extLst>
        </xdr:cNvPr>
        <xdr:cNvSpPr txBox="1"/>
      </xdr:nvSpPr>
      <xdr:spPr>
        <a:xfrm>
          <a:off x="754380" y="4762500"/>
          <a:ext cx="647700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682FFC7-DFD7-4A13-A534-BC9036DF4923}" type="TxLink">
            <a:rPr lang="en-US" sz="1200" b="0" i="1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84%</a:t>
          </a:fld>
          <a:endParaRPr lang="pt-BR" sz="4400" i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157601</xdr:colOff>
      <xdr:row>0</xdr:row>
      <xdr:rowOff>39756</xdr:rowOff>
    </xdr:from>
    <xdr:to>
      <xdr:col>9</xdr:col>
      <xdr:colOff>76826</xdr:colOff>
      <xdr:row>3</xdr:row>
      <xdr:rowOff>83571</xdr:rowOff>
    </xdr:to>
    <xdr:sp macro="" textlink="">
      <xdr:nvSpPr>
        <xdr:cNvPr id="98" name="CaixaDeTexto 97">
          <a:extLst>
            <a:ext uri="{FF2B5EF4-FFF2-40B4-BE49-F238E27FC236}">
              <a16:creationId xmlns:a16="http://schemas.microsoft.com/office/drawing/2014/main" id="{9FFC0790-CF3F-44E8-8981-1C6D8FEC534B}"/>
            </a:ext>
          </a:extLst>
        </xdr:cNvPr>
        <xdr:cNvSpPr txBox="1"/>
      </xdr:nvSpPr>
      <xdr:spPr>
        <a:xfrm>
          <a:off x="157601" y="39756"/>
          <a:ext cx="5405625" cy="6004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2800" b="1">
              <a:solidFill>
                <a:schemeClr val="accent1">
                  <a:lumMod val="50000"/>
                </a:schemeClr>
              </a:solidFill>
            </a:rPr>
            <a:t>Planejamento Estratégico 2026</a:t>
          </a:r>
        </a:p>
      </xdr:txBody>
    </xdr:sp>
    <xdr:clientData/>
  </xdr:twoCellAnchor>
  <xdr:twoCellAnchor>
    <xdr:from>
      <xdr:col>4</xdr:col>
      <xdr:colOff>82550</xdr:colOff>
      <xdr:row>22</xdr:row>
      <xdr:rowOff>45720</xdr:rowOff>
    </xdr:from>
    <xdr:to>
      <xdr:col>6</xdr:col>
      <xdr:colOff>6350</xdr:colOff>
      <xdr:row>26</xdr:row>
      <xdr:rowOff>152400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5D3D606-3302-A0FB-ACA7-044585B7C2F7}"/>
            </a:ext>
          </a:extLst>
        </xdr:cNvPr>
        <xdr:cNvGrpSpPr/>
      </xdr:nvGrpSpPr>
      <xdr:grpSpPr>
        <a:xfrm>
          <a:off x="2444750" y="4027170"/>
          <a:ext cx="1104900" cy="830580"/>
          <a:chOff x="2171700" y="4097020"/>
          <a:chExt cx="1143000" cy="843280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A480D8C4-EB17-425D-B25D-2EC8D181B6B4}"/>
              </a:ext>
            </a:extLst>
          </xdr:cNvPr>
          <xdr:cNvGrpSpPr/>
        </xdr:nvGrpSpPr>
        <xdr:grpSpPr>
          <a:xfrm>
            <a:off x="2171700" y="4097020"/>
            <a:ext cx="1143000" cy="843280"/>
            <a:chOff x="2171700" y="4097020"/>
            <a:chExt cx="1143000" cy="843280"/>
          </a:xfrm>
        </xdr:grpSpPr>
        <xdr:cxnSp macro="">
          <xdr:nvCxnSpPr>
            <xdr:cNvPr id="90" name="Conector reto 89">
              <a:extLst>
                <a:ext uri="{FF2B5EF4-FFF2-40B4-BE49-F238E27FC236}">
                  <a16:creationId xmlns:a16="http://schemas.microsoft.com/office/drawing/2014/main" id="{70BA410A-B92D-474A-BA67-ED40A83ADBB1}"/>
                </a:ext>
              </a:extLst>
            </xdr:cNvPr>
            <xdr:cNvCxnSpPr/>
          </xdr:nvCxnSpPr>
          <xdr:spPr>
            <a:xfrm flipV="1">
              <a:off x="2651760" y="4572000"/>
              <a:ext cx="0" cy="246380"/>
            </a:xfrm>
            <a:prstGeom prst="line">
              <a:avLst/>
            </a:prstGeom>
            <a:ln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3B68E0AA-072D-C5D5-648E-75FF73DE6810}"/>
                </a:ext>
              </a:extLst>
            </xdr:cNvPr>
            <xdr:cNvGrpSpPr/>
          </xdr:nvGrpSpPr>
          <xdr:grpSpPr>
            <a:xfrm>
              <a:off x="2171700" y="4097020"/>
              <a:ext cx="1143000" cy="843280"/>
              <a:chOff x="2171700" y="4097020"/>
              <a:chExt cx="1143000" cy="843280"/>
            </a:xfrm>
          </xdr:grpSpPr>
          <xdr:grpSp>
            <xdr:nvGrpSpPr>
              <xdr:cNvPr id="69" name="Agrupar 68">
                <a:extLst>
                  <a:ext uri="{FF2B5EF4-FFF2-40B4-BE49-F238E27FC236}">
                    <a16:creationId xmlns:a16="http://schemas.microsoft.com/office/drawing/2014/main" id="{04682953-1A52-4D0B-87BD-AAE96AC2912A}"/>
                  </a:ext>
                </a:extLst>
              </xdr:cNvPr>
              <xdr:cNvGrpSpPr/>
            </xdr:nvGrpSpPr>
            <xdr:grpSpPr>
              <a:xfrm>
                <a:off x="2171700" y="4097020"/>
                <a:ext cx="1021080" cy="812800"/>
                <a:chOff x="5935980" y="1135380"/>
                <a:chExt cx="1021080" cy="807720"/>
              </a:xfrm>
            </xdr:grpSpPr>
            <xdr:sp macro="" textlink="">
              <xdr:nvSpPr>
                <xdr:cNvPr id="70" name="CaixaDeTexto 69">
                  <a:extLst>
                    <a:ext uri="{FF2B5EF4-FFF2-40B4-BE49-F238E27FC236}">
                      <a16:creationId xmlns:a16="http://schemas.microsoft.com/office/drawing/2014/main" id="{51DC23C2-4209-8A3D-CD9B-3F7B879F1ED8}"/>
                    </a:ext>
                  </a:extLst>
                </xdr:cNvPr>
                <xdr:cNvSpPr txBox="1"/>
              </xdr:nvSpPr>
              <xdr:spPr>
                <a:xfrm>
                  <a:off x="5935980" y="1135380"/>
                  <a:ext cx="1021080" cy="51054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/>
                    <a:t>Total de</a:t>
                  </a:r>
                  <a:r>
                    <a:rPr lang="pt-BR" sz="1100" baseline="0"/>
                    <a:t> Iniciativas</a:t>
                  </a:r>
                  <a:endParaRPr lang="pt-BR" sz="1100"/>
                </a:p>
              </xdr:txBody>
            </xdr:sp>
            <xdr:sp macro="" textlink="Apoio!D3">
              <xdr:nvSpPr>
                <xdr:cNvPr id="71" name="CaixaDeTexto 70">
                  <a:extLst>
                    <a:ext uri="{FF2B5EF4-FFF2-40B4-BE49-F238E27FC236}">
                      <a16:creationId xmlns:a16="http://schemas.microsoft.com/office/drawing/2014/main" id="{CAE32827-5521-AA31-FE69-71FC15B46000}"/>
                    </a:ext>
                  </a:extLst>
                </xdr:cNvPr>
                <xdr:cNvSpPr txBox="1"/>
              </xdr:nvSpPr>
              <xdr:spPr>
                <a:xfrm>
                  <a:off x="5943600" y="1516380"/>
                  <a:ext cx="481330" cy="4267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C39E1F63-9536-4F64-9482-6685A19BD60D}" type="TxLink">
                    <a:rPr lang="en-US" sz="2000" b="1" i="0" u="none" strike="noStrike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pPr/>
                    <a:t>54</a:t>
                  </a:fld>
                  <a:endParaRPr lang="pt-BR" sz="4000" b="1">
                    <a:solidFill>
                      <a:schemeClr val="tx1"/>
                    </a:solidFill>
                  </a:endParaRPr>
                </a:p>
              </xdr:txBody>
            </xdr:sp>
          </xdr:grpSp>
          <xdr:sp macro="" textlink="Apoio!E3">
            <xdr:nvSpPr>
              <xdr:cNvPr id="91" name="CaixaDeTexto 90">
                <a:extLst>
                  <a:ext uri="{FF2B5EF4-FFF2-40B4-BE49-F238E27FC236}">
                    <a16:creationId xmlns:a16="http://schemas.microsoft.com/office/drawing/2014/main" id="{CD62423E-AD1A-480A-9EC3-AE07A17AF1FD}"/>
                  </a:ext>
                </a:extLst>
              </xdr:cNvPr>
              <xdr:cNvSpPr txBox="1"/>
            </xdr:nvSpPr>
            <xdr:spPr>
              <a:xfrm>
                <a:off x="2667000" y="4611370"/>
                <a:ext cx="647700" cy="32893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C897960-5DC0-45FD-BCAB-01DD6A80FCA1}" type="TxLink">
                  <a:rPr lang="en-US" sz="1200" b="0" i="1" u="none" strike="noStrike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pPr/>
                  <a:t>81%</a:t>
                </a:fld>
                <a:endParaRPr lang="pt-BR" sz="4800" i="1">
                  <a:solidFill>
                    <a:schemeClr val="tx1"/>
                  </a:solidFill>
                </a:endParaRPr>
              </a:p>
            </xdr:txBody>
          </xdr:sp>
        </xdr:grpSp>
      </xdr:grpSp>
      <xdr:cxnSp macro="">
        <xdr:nvCxnSpPr>
          <xdr:cNvPr id="102" name="Conector reto 101">
            <a:extLst>
              <a:ext uri="{FF2B5EF4-FFF2-40B4-BE49-F238E27FC236}">
                <a16:creationId xmlns:a16="http://schemas.microsoft.com/office/drawing/2014/main" id="{C164F946-C076-4EB3-A0BA-4D4F295828A8}"/>
              </a:ext>
            </a:extLst>
          </xdr:cNvPr>
          <xdr:cNvCxnSpPr/>
        </xdr:nvCxnSpPr>
        <xdr:spPr>
          <a:xfrm flipH="1">
            <a:off x="2255520" y="4533900"/>
            <a:ext cx="7924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510540</xdr:colOff>
      <xdr:row>22</xdr:row>
      <xdr:rowOff>58420</xdr:rowOff>
    </xdr:from>
    <xdr:to>
      <xdr:col>9</xdr:col>
      <xdr:colOff>426720</xdr:colOff>
      <xdr:row>26</xdr:row>
      <xdr:rowOff>165100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3A22C967-BDEC-6B2D-3269-9A7CC3F8DA11}"/>
            </a:ext>
          </a:extLst>
        </xdr:cNvPr>
        <xdr:cNvGrpSpPr/>
      </xdr:nvGrpSpPr>
      <xdr:grpSpPr>
        <a:xfrm>
          <a:off x="4644390" y="4039870"/>
          <a:ext cx="1097280" cy="830580"/>
          <a:chOff x="4053840" y="4097020"/>
          <a:chExt cx="1135380" cy="843280"/>
        </a:xfrm>
      </xdr:grpSpPr>
      <xdr:cxnSp macro="">
        <xdr:nvCxnSpPr>
          <xdr:cNvPr id="92" name="Conector reto 91">
            <a:extLst>
              <a:ext uri="{FF2B5EF4-FFF2-40B4-BE49-F238E27FC236}">
                <a16:creationId xmlns:a16="http://schemas.microsoft.com/office/drawing/2014/main" id="{7BF230CB-3B91-4AF3-9AD2-D0FDDB317EEB}"/>
              </a:ext>
            </a:extLst>
          </xdr:cNvPr>
          <xdr:cNvCxnSpPr/>
        </xdr:nvCxnSpPr>
        <xdr:spPr>
          <a:xfrm flipV="1">
            <a:off x="4526280" y="4572000"/>
            <a:ext cx="0" cy="246380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105BFFB6-D64B-B73D-A3CC-2550B91D7792}"/>
              </a:ext>
            </a:extLst>
          </xdr:cNvPr>
          <xdr:cNvGrpSpPr/>
        </xdr:nvGrpSpPr>
        <xdr:grpSpPr>
          <a:xfrm>
            <a:off x="4053840" y="4097020"/>
            <a:ext cx="1135380" cy="843280"/>
            <a:chOff x="4053840" y="4097020"/>
            <a:chExt cx="1135380" cy="843280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A399CB5A-090E-4568-AAAC-D89F1D8BCAC6}"/>
                </a:ext>
              </a:extLst>
            </xdr:cNvPr>
            <xdr:cNvGrpSpPr/>
          </xdr:nvGrpSpPr>
          <xdr:grpSpPr>
            <a:xfrm>
              <a:off x="4053840" y="4097020"/>
              <a:ext cx="1036320" cy="805180"/>
              <a:chOff x="5920740" y="1135380"/>
              <a:chExt cx="1036320" cy="800100"/>
            </a:xfrm>
          </xdr:grpSpPr>
          <xdr:sp macro="" textlink="">
            <xdr:nvSpPr>
              <xdr:cNvPr id="74" name="CaixaDeTexto 73">
                <a:extLst>
                  <a:ext uri="{FF2B5EF4-FFF2-40B4-BE49-F238E27FC236}">
                    <a16:creationId xmlns:a16="http://schemas.microsoft.com/office/drawing/2014/main" id="{EF5D820D-A5F8-0F22-BBEA-2D57E4357AFB}"/>
                  </a:ext>
                </a:extLst>
              </xdr:cNvPr>
              <xdr:cNvSpPr txBox="1"/>
            </xdr:nvSpPr>
            <xdr:spPr>
              <a:xfrm>
                <a:off x="5935980" y="1135380"/>
                <a:ext cx="1021080" cy="5105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/>
                  <a:t>Total de</a:t>
                </a:r>
                <a:r>
                  <a:rPr lang="pt-BR" sz="1100" baseline="0"/>
                  <a:t> Iniciativas</a:t>
                </a:r>
                <a:endParaRPr lang="pt-BR" sz="1100"/>
              </a:p>
            </xdr:txBody>
          </xdr:sp>
          <xdr:sp macro="" textlink="Apoio!D4">
            <xdr:nvSpPr>
              <xdr:cNvPr id="75" name="CaixaDeTexto 74">
                <a:extLst>
                  <a:ext uri="{FF2B5EF4-FFF2-40B4-BE49-F238E27FC236}">
                    <a16:creationId xmlns:a16="http://schemas.microsoft.com/office/drawing/2014/main" id="{0A6A9DE6-4DDC-FAA9-9E04-2C407AD4FB75}"/>
                  </a:ext>
                </a:extLst>
              </xdr:cNvPr>
              <xdr:cNvSpPr txBox="1"/>
            </xdr:nvSpPr>
            <xdr:spPr>
              <a:xfrm>
                <a:off x="5920740" y="1508760"/>
                <a:ext cx="461010" cy="4267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FAC88BB1-714A-44F4-907D-FA32CF7B63D1}" type="TxLink">
                  <a:rPr lang="en-US" sz="2000" b="1" i="0" u="none" strike="noStrike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pPr/>
                  <a:t>54</a:t>
                </a:fld>
                <a:endParaRPr lang="pt-BR" sz="4000" b="1">
                  <a:solidFill>
                    <a:schemeClr val="tx1"/>
                  </a:solidFill>
                </a:endParaRPr>
              </a:p>
            </xdr:txBody>
          </xdr:sp>
        </xdr:grpSp>
        <xdr:sp macro="" textlink="Apoio!E4">
          <xdr:nvSpPr>
            <xdr:cNvPr id="93" name="CaixaDeTexto 92">
              <a:extLst>
                <a:ext uri="{FF2B5EF4-FFF2-40B4-BE49-F238E27FC236}">
                  <a16:creationId xmlns:a16="http://schemas.microsoft.com/office/drawing/2014/main" id="{CF93D6EF-ACD2-4BC5-B5BB-42F8A6B03F36}"/>
                </a:ext>
              </a:extLst>
            </xdr:cNvPr>
            <xdr:cNvSpPr txBox="1"/>
          </xdr:nvSpPr>
          <xdr:spPr>
            <a:xfrm>
              <a:off x="4541520" y="4611370"/>
              <a:ext cx="647700" cy="32893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59B2DE5D-BD15-4B49-A300-B86D48F46104}" type="TxLink">
                <a:rPr lang="en-US" sz="1200" b="0" i="1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/>
                <a:t>81%</a:t>
              </a:fld>
              <a:endParaRPr lang="pt-BR" sz="4800" i="1">
                <a:solidFill>
                  <a:schemeClr val="tx1"/>
                </a:solidFill>
              </a:endParaRPr>
            </a:p>
          </xdr:txBody>
        </xdr:sp>
        <xdr:cxnSp macro="">
          <xdr:nvCxnSpPr>
            <xdr:cNvPr id="103" name="Conector reto 102">
              <a:extLst>
                <a:ext uri="{FF2B5EF4-FFF2-40B4-BE49-F238E27FC236}">
                  <a16:creationId xmlns:a16="http://schemas.microsoft.com/office/drawing/2014/main" id="{0E8A32B0-8FD0-47A8-AEAA-928C93FE38E3}"/>
                </a:ext>
              </a:extLst>
            </xdr:cNvPr>
            <xdr:cNvCxnSpPr/>
          </xdr:nvCxnSpPr>
          <xdr:spPr>
            <a:xfrm flipH="1">
              <a:off x="4160520" y="4533900"/>
              <a:ext cx="792480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oneCell">
    <xdr:from>
      <xdr:col>9</xdr:col>
      <xdr:colOff>315262</xdr:colOff>
      <xdr:row>0</xdr:row>
      <xdr:rowOff>45757</xdr:rowOff>
    </xdr:from>
    <xdr:to>
      <xdr:col>13</xdr:col>
      <xdr:colOff>73746</xdr:colOff>
      <xdr:row>3</xdr:row>
      <xdr:rowOff>30385</xdr:rowOff>
    </xdr:to>
    <xdr:pic macro="[0]!Amplia">
      <xdr:nvPicPr>
        <xdr:cNvPr id="8" name="Google Shape;784;p49" title="LogoColorHorizontal.png">
          <a:extLst>
            <a:ext uri="{FF2B5EF4-FFF2-40B4-BE49-F238E27FC236}">
              <a16:creationId xmlns:a16="http://schemas.microsoft.com/office/drawing/2014/main" id="{E1D2748D-8467-4EF7-81E3-97FB9C920DD1}"/>
            </a:ext>
          </a:extLst>
        </xdr:cNvPr>
        <xdr:cNvPicPr preferRelativeResize="0"/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5828556" y="45757"/>
          <a:ext cx="2208837" cy="522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61232</xdr:colOff>
      <xdr:row>0</xdr:row>
      <xdr:rowOff>149678</xdr:rowOff>
    </xdr:from>
    <xdr:to>
      <xdr:col>16</xdr:col>
      <xdr:colOff>503464</xdr:colOff>
      <xdr:row>22</xdr:row>
      <xdr:rowOff>59634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A7EE91DA-D060-18EB-7ECD-0656186EED1D}"/>
            </a:ext>
          </a:extLst>
        </xdr:cNvPr>
        <xdr:cNvGrpSpPr/>
      </xdr:nvGrpSpPr>
      <xdr:grpSpPr>
        <a:xfrm>
          <a:off x="8328932" y="149678"/>
          <a:ext cx="1623332" cy="3891406"/>
          <a:chOff x="8595632" y="149678"/>
          <a:chExt cx="1661432" cy="3961256"/>
        </a:xfrm>
      </xdr:grpSpPr>
      <xdr:pic>
        <xdr:nvPicPr>
          <xdr:cNvPr id="62" name="Imagem 6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4A8DD30-A2FB-A2C9-609A-37AA0EDC50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806543" y="551262"/>
            <a:ext cx="1237862" cy="853450"/>
          </a:xfrm>
          <a:prstGeom prst="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72" name="Retângulo 71">
            <a:extLst>
              <a:ext uri="{FF2B5EF4-FFF2-40B4-BE49-F238E27FC236}">
                <a16:creationId xmlns:a16="http://schemas.microsoft.com/office/drawing/2014/main" id="{199F9B4E-10F1-E06E-AADC-F73EA940D958}"/>
              </a:ext>
            </a:extLst>
          </xdr:cNvPr>
          <xdr:cNvSpPr/>
        </xdr:nvSpPr>
        <xdr:spPr>
          <a:xfrm>
            <a:off x="8595632" y="149678"/>
            <a:ext cx="1661432" cy="3961256"/>
          </a:xfrm>
          <a:prstGeom prst="rect">
            <a:avLst/>
          </a:prstGeom>
          <a:noFill/>
          <a:ln w="63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7D1736F2-6135-46D4-9415-90F99619C3C1}"/>
              </a:ext>
            </a:extLst>
          </xdr:cNvPr>
          <xdr:cNvSpPr txBox="1"/>
        </xdr:nvSpPr>
        <xdr:spPr>
          <a:xfrm>
            <a:off x="8724899" y="197757"/>
            <a:ext cx="1416504" cy="279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>
                <a:solidFill>
                  <a:schemeClr val="accent1">
                    <a:lumMod val="50000"/>
                  </a:schemeClr>
                </a:solidFill>
              </a:rPr>
              <a:t>Portfólio</a:t>
            </a:r>
            <a:r>
              <a:rPr lang="pt-BR" sz="1200" b="1" baseline="0">
                <a:solidFill>
                  <a:schemeClr val="accent1">
                    <a:lumMod val="50000"/>
                  </a:schemeClr>
                </a:solidFill>
              </a:rPr>
              <a:t> Iniciativas</a:t>
            </a:r>
            <a:endParaRPr lang="pt-BR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  <xdr:pic>
        <xdr:nvPicPr>
          <xdr:cNvPr id="80" name="Imagem 7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FD1F13-7994-1145-ADA5-01A7E544DC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839483" y="1837354"/>
            <a:ext cx="1225543" cy="840138"/>
          </a:xfrm>
          <a:prstGeom prst="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A6973BA5-6BFF-496D-A83F-A708F5CDF5DF}"/>
              </a:ext>
            </a:extLst>
          </xdr:cNvPr>
          <xdr:cNvSpPr txBox="1"/>
        </xdr:nvSpPr>
        <xdr:spPr>
          <a:xfrm>
            <a:off x="8716616" y="1531356"/>
            <a:ext cx="1416504" cy="279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solidFill>
                  <a:schemeClr val="accent1">
                    <a:lumMod val="50000"/>
                  </a:schemeClr>
                </a:solidFill>
              </a:rPr>
              <a:t>Painel Priorização</a:t>
            </a:r>
          </a:p>
        </xdr:txBody>
      </xdr:sp>
      <xdr:pic>
        <xdr:nvPicPr>
          <xdr:cNvPr id="82" name="Imagem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5141002-449F-7E92-FAC4-163578CE1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832573" y="3070775"/>
            <a:ext cx="1245706" cy="822878"/>
          </a:xfrm>
          <a:prstGeom prst="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1D7AE1B8-23BE-4E03-ACDB-4580277A9F0E}"/>
              </a:ext>
            </a:extLst>
          </xdr:cNvPr>
          <xdr:cNvSpPr txBox="1"/>
        </xdr:nvSpPr>
        <xdr:spPr>
          <a:xfrm>
            <a:off x="8703364" y="2774023"/>
            <a:ext cx="1416504" cy="2794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solidFill>
                  <a:schemeClr val="accent1">
                    <a:lumMod val="50000"/>
                  </a:schemeClr>
                </a:solidFill>
              </a:rPr>
              <a:t>Performance</a:t>
            </a:r>
          </a:p>
        </xdr:txBody>
      </xdr:sp>
    </xdr:grpSp>
    <xdr:clientData/>
  </xdr:twoCellAnchor>
  <xdr:twoCellAnchor editAs="oneCell">
    <xdr:from>
      <xdr:col>11</xdr:col>
      <xdr:colOff>381000</xdr:colOff>
      <xdr:row>3</xdr:row>
      <xdr:rowOff>144009</xdr:rowOff>
    </xdr:from>
    <xdr:to>
      <xdr:col>13</xdr:col>
      <xdr:colOff>121171</xdr:colOff>
      <xdr:row>11</xdr:row>
      <xdr:rowOff>7076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892B0174-FBE5-CAB2-C8D9-691075ADB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086600" y="696459"/>
          <a:ext cx="959371" cy="13362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59361</xdr:colOff>
      <xdr:row>9</xdr:row>
      <xdr:rowOff>162601</xdr:rowOff>
    </xdr:from>
    <xdr:to>
      <xdr:col>0</xdr:col>
      <xdr:colOff>2577962</xdr:colOff>
      <xdr:row>10</xdr:row>
      <xdr:rowOff>356348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8D83A8E-C859-4CBD-A2FD-A46D7C5B1F2E}"/>
            </a:ext>
          </a:extLst>
        </xdr:cNvPr>
        <xdr:cNvGrpSpPr/>
      </xdr:nvGrpSpPr>
      <xdr:grpSpPr>
        <a:xfrm>
          <a:off x="59361" y="1800901"/>
          <a:ext cx="2518601" cy="374722"/>
          <a:chOff x="-897968" y="289851"/>
          <a:chExt cx="2294257" cy="358659"/>
        </a:xfrm>
      </xdr:grpSpPr>
      <xdr:sp macro="" textlink="$X$2">
        <xdr:nvSpPr>
          <xdr:cNvPr id="3" name="CaixaDeTexto 2">
            <a:extLst>
              <a:ext uri="{FF2B5EF4-FFF2-40B4-BE49-F238E27FC236}">
                <a16:creationId xmlns:a16="http://schemas.microsoft.com/office/drawing/2014/main" id="{9B2E11D3-4CAF-496A-B6BA-7D6E6E3452AB}"/>
              </a:ext>
            </a:extLst>
          </xdr:cNvPr>
          <xdr:cNvSpPr txBox="1"/>
        </xdr:nvSpPr>
        <xdr:spPr>
          <a:xfrm>
            <a:off x="332331" y="289851"/>
            <a:ext cx="1063958" cy="358497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B1D4F36-4374-4D03-8091-0233C3D16784}" type="TxLink">
              <a:rPr lang="en-US" sz="20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</a:t>
            </a:fld>
            <a:endParaRPr lang="pt-BR" sz="2132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19AB4A51-8C02-A19B-294C-9927255E2342}"/>
              </a:ext>
            </a:extLst>
          </xdr:cNvPr>
          <xdr:cNvSpPr txBox="1"/>
        </xdr:nvSpPr>
        <xdr:spPr>
          <a:xfrm>
            <a:off x="-897968" y="290545"/>
            <a:ext cx="1308870" cy="357965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#INICIATIVAS</a:t>
            </a:r>
          </a:p>
        </xdr:txBody>
      </xdr:sp>
    </xdr:grpSp>
    <xdr:clientData/>
  </xdr:twoCellAnchor>
  <xdr:twoCellAnchor editAs="absolute">
    <xdr:from>
      <xdr:col>0</xdr:col>
      <xdr:colOff>9645</xdr:colOff>
      <xdr:row>4</xdr:row>
      <xdr:rowOff>59015</xdr:rowOff>
    </xdr:from>
    <xdr:to>
      <xdr:col>1</xdr:col>
      <xdr:colOff>0</xdr:colOff>
      <xdr:row>6</xdr:row>
      <xdr:rowOff>76599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B9A61E8-8991-42D4-BEC2-4967C7F46541}"/>
            </a:ext>
          </a:extLst>
        </xdr:cNvPr>
        <xdr:cNvSpPr txBox="1"/>
      </xdr:nvSpPr>
      <xdr:spPr>
        <a:xfrm>
          <a:off x="9645" y="780910"/>
          <a:ext cx="2594062" cy="3785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 i="1"/>
            <a:t>Portfólio de Iniciativas</a:t>
          </a:r>
        </a:p>
      </xdr:txBody>
    </xdr:sp>
    <xdr:clientData/>
  </xdr:twoCellAnchor>
  <xdr:twoCellAnchor editAs="absolute">
    <xdr:from>
      <xdr:col>1</xdr:col>
      <xdr:colOff>19600</xdr:colOff>
      <xdr:row>0</xdr:row>
      <xdr:rowOff>36805</xdr:rowOff>
    </xdr:from>
    <xdr:to>
      <xdr:col>4</xdr:col>
      <xdr:colOff>5238574</xdr:colOff>
      <xdr:row>5</xdr:row>
      <xdr:rowOff>82825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Área 1">
              <a:extLst>
                <a:ext uri="{FF2B5EF4-FFF2-40B4-BE49-F238E27FC236}">
                  <a16:creationId xmlns:a16="http://schemas.microsoft.com/office/drawing/2014/main" id="{3244E938-8EDF-4626-9457-D7333ED4E9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6626" y="36805"/>
              <a:ext cx="6578605" cy="960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2956655</xdr:colOff>
      <xdr:row>5</xdr:row>
      <xdr:rowOff>132948</xdr:rowOff>
    </xdr:from>
    <xdr:to>
      <xdr:col>4</xdr:col>
      <xdr:colOff>5227659</xdr:colOff>
      <xdr:row>9</xdr:row>
      <xdr:rowOff>57353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rojeto x Iniciativa 1">
              <a:extLst>
                <a:ext uri="{FF2B5EF4-FFF2-40B4-BE49-F238E27FC236}">
                  <a16:creationId xmlns:a16="http://schemas.microsoft.com/office/drawing/2014/main" id="{A0B7ED53-3EBA-4181-904F-BF8637CED7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o x 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5901" y="1044035"/>
              <a:ext cx="2271004" cy="661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18879</xdr:colOff>
      <xdr:row>5</xdr:row>
      <xdr:rowOff>138615</xdr:rowOff>
    </xdr:from>
    <xdr:to>
      <xdr:col>4</xdr:col>
      <xdr:colOff>2919427</xdr:colOff>
      <xdr:row>9</xdr:row>
      <xdr:rowOff>65017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Onde Estamos 1">
              <a:extLst>
                <a:ext uri="{FF2B5EF4-FFF2-40B4-BE49-F238E27FC236}">
                  <a16:creationId xmlns:a16="http://schemas.microsoft.com/office/drawing/2014/main" id="{575F3182-1D3E-49F7-AEF4-553A6028EC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nde Estam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4162" y="1049702"/>
              <a:ext cx="4262794" cy="6635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5268081</xdr:colOff>
      <xdr:row>0</xdr:row>
      <xdr:rowOff>38249</xdr:rowOff>
    </xdr:from>
    <xdr:to>
      <xdr:col>4</xdr:col>
      <xdr:colOff>6027991</xdr:colOff>
      <xdr:row>9</xdr:row>
      <xdr:rowOff>57660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QM 1">
              <a:extLst>
                <a:ext uri="{FF2B5EF4-FFF2-40B4-BE49-F238E27FC236}">
                  <a16:creationId xmlns:a16="http://schemas.microsoft.com/office/drawing/2014/main" id="{B6BB1CA6-6A40-432F-A771-C63DBD63A7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4738" y="38249"/>
              <a:ext cx="972282" cy="1653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6066583</xdr:colOff>
      <xdr:row>0</xdr:row>
      <xdr:rowOff>38279</xdr:rowOff>
    </xdr:from>
    <xdr:to>
      <xdr:col>6</xdr:col>
      <xdr:colOff>59257</xdr:colOff>
      <xdr:row>4</xdr:row>
      <xdr:rowOff>19080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iclo 1">
              <a:extLst>
                <a:ext uri="{FF2B5EF4-FFF2-40B4-BE49-F238E27FC236}">
                  <a16:creationId xmlns:a16="http://schemas.microsoft.com/office/drawing/2014/main" id="{6E1C1948-7A31-419A-BB06-F2B78C30E2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cl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5612" y="38279"/>
              <a:ext cx="1128463" cy="7026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57294</xdr:colOff>
      <xdr:row>11</xdr:row>
      <xdr:rowOff>0</xdr:rowOff>
    </xdr:from>
    <xdr:to>
      <xdr:col>1</xdr:col>
      <xdr:colOff>0</xdr:colOff>
      <xdr:row>27</xdr:row>
      <xdr:rowOff>138240</xdr:rowOff>
    </xdr:to>
    <xdr:grpSp>
      <xdr:nvGrpSpPr>
        <xdr:cNvPr id="11" name="Agrupar 11">
          <a:extLst>
            <a:ext uri="{FF2B5EF4-FFF2-40B4-BE49-F238E27FC236}">
              <a16:creationId xmlns:a16="http://schemas.microsoft.com/office/drawing/2014/main" id="{2EAF9AE8-4615-4EFD-9C6D-AB39C8FADB13}"/>
            </a:ext>
          </a:extLst>
        </xdr:cNvPr>
        <xdr:cNvGrpSpPr/>
      </xdr:nvGrpSpPr>
      <xdr:grpSpPr>
        <a:xfrm>
          <a:off x="57294" y="2314575"/>
          <a:ext cx="2543031" cy="2767140"/>
          <a:chOff x="2526030" y="4380547"/>
          <a:chExt cx="2586990" cy="2745105"/>
        </a:xfrm>
      </xdr:grpSpPr>
      <xdr:graphicFrame macro="">
        <xdr:nvGraphicFramePr>
          <xdr:cNvPr id="12" name="Gráfico 13">
            <a:extLst>
              <a:ext uri="{FF2B5EF4-FFF2-40B4-BE49-F238E27FC236}">
                <a16:creationId xmlns:a16="http://schemas.microsoft.com/office/drawing/2014/main" id="{F1CD9281-25C2-DAE0-C5FA-DBD90B8E3D8B}"/>
              </a:ext>
            </a:extLst>
          </xdr:cNvPr>
          <xdr:cNvGraphicFramePr/>
        </xdr:nvGraphicFramePr>
        <xdr:xfrm>
          <a:off x="2526030" y="4380547"/>
          <a:ext cx="2527935" cy="274510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25">
        <xdr:nvSpPr>
          <xdr:cNvPr id="13" name="CaixaDeTexto 17">
            <a:extLst>
              <a:ext uri="{FF2B5EF4-FFF2-40B4-BE49-F238E27FC236}">
                <a16:creationId xmlns:a16="http://schemas.microsoft.com/office/drawing/2014/main" id="{2FDCF6BA-3A9F-09F7-BB61-D4039A046101}"/>
              </a:ext>
            </a:extLst>
          </xdr:cNvPr>
          <xdr:cNvSpPr txBox="1"/>
        </xdr:nvSpPr>
        <xdr:spPr>
          <a:xfrm>
            <a:off x="4697731" y="4518659"/>
            <a:ext cx="396239" cy="24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B79677A-6ED3-4C52-9A26-F7BA9C240CD6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900"/>
          </a:p>
        </xdr:txBody>
      </xdr:sp>
      <xdr:sp macro="" textlink="$C$26">
        <xdr:nvSpPr>
          <xdr:cNvPr id="14" name="CaixaDeTexto 18">
            <a:extLst>
              <a:ext uri="{FF2B5EF4-FFF2-40B4-BE49-F238E27FC236}">
                <a16:creationId xmlns:a16="http://schemas.microsoft.com/office/drawing/2014/main" id="{7C9DF3B1-2C86-6E25-25A8-219565944177}"/>
              </a:ext>
            </a:extLst>
          </xdr:cNvPr>
          <xdr:cNvSpPr txBox="1"/>
        </xdr:nvSpPr>
        <xdr:spPr>
          <a:xfrm>
            <a:off x="4697731" y="4775834"/>
            <a:ext cx="400049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722E704-C8A2-4767-91CF-505B5AE89EBB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600"/>
          </a:p>
        </xdr:txBody>
      </xdr:sp>
      <xdr:sp macro="" textlink="$C$27">
        <xdr:nvSpPr>
          <xdr:cNvPr id="15" name="CaixaDeTexto 19">
            <a:extLst>
              <a:ext uri="{FF2B5EF4-FFF2-40B4-BE49-F238E27FC236}">
                <a16:creationId xmlns:a16="http://schemas.microsoft.com/office/drawing/2014/main" id="{D7B6FF28-8FEF-D6F1-EA62-552606D2651E}"/>
              </a:ext>
            </a:extLst>
          </xdr:cNvPr>
          <xdr:cNvSpPr txBox="1"/>
        </xdr:nvSpPr>
        <xdr:spPr>
          <a:xfrm>
            <a:off x="4705351" y="5012054"/>
            <a:ext cx="400049" cy="2552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DC22C88-6D79-4CC4-9EAD-010689D9184F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300"/>
          </a:p>
        </xdr:txBody>
      </xdr:sp>
      <xdr:sp macro="" textlink="#REF!">
        <xdr:nvSpPr>
          <xdr:cNvPr id="16" name="CaixaDeTexto 20">
            <a:extLst>
              <a:ext uri="{FF2B5EF4-FFF2-40B4-BE49-F238E27FC236}">
                <a16:creationId xmlns:a16="http://schemas.microsoft.com/office/drawing/2014/main" id="{FB1FE411-CA4A-1BDA-9125-B72D87AAFD3B}"/>
              </a:ext>
            </a:extLst>
          </xdr:cNvPr>
          <xdr:cNvSpPr txBox="1"/>
        </xdr:nvSpPr>
        <xdr:spPr>
          <a:xfrm>
            <a:off x="4692016" y="5242559"/>
            <a:ext cx="411479" cy="2533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0F19163-76D0-4493-8213-8E056CC1F6ED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100"/>
          </a:p>
        </xdr:txBody>
      </xdr:sp>
      <xdr:sp macro="" textlink="$C$28">
        <xdr:nvSpPr>
          <xdr:cNvPr id="17" name="CaixaDeTexto 21">
            <a:extLst>
              <a:ext uri="{FF2B5EF4-FFF2-40B4-BE49-F238E27FC236}">
                <a16:creationId xmlns:a16="http://schemas.microsoft.com/office/drawing/2014/main" id="{D88F9E3C-4277-E41B-5376-4A063601DBA1}"/>
              </a:ext>
            </a:extLst>
          </xdr:cNvPr>
          <xdr:cNvSpPr txBox="1"/>
        </xdr:nvSpPr>
        <xdr:spPr>
          <a:xfrm>
            <a:off x="4688206" y="5497829"/>
            <a:ext cx="419099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B4C834E-9ED8-4FAB-AE1C-290463CF83A8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100"/>
          </a:p>
        </xdr:txBody>
      </xdr:sp>
      <xdr:sp macro="" textlink="$C$28">
        <xdr:nvSpPr>
          <xdr:cNvPr id="18" name="CaixaDeTexto 22">
            <a:extLst>
              <a:ext uri="{FF2B5EF4-FFF2-40B4-BE49-F238E27FC236}">
                <a16:creationId xmlns:a16="http://schemas.microsoft.com/office/drawing/2014/main" id="{2557DE3D-F413-0A94-A989-A297F3A77ACC}"/>
              </a:ext>
            </a:extLst>
          </xdr:cNvPr>
          <xdr:cNvSpPr txBox="1"/>
        </xdr:nvSpPr>
        <xdr:spPr>
          <a:xfrm>
            <a:off x="4692016" y="5753099"/>
            <a:ext cx="419099" cy="2400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B4C834E-9ED8-4FAB-AE1C-290463CF83A8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100"/>
          </a:p>
        </xdr:txBody>
      </xdr:sp>
      <xdr:sp macro="" textlink="$C$30">
        <xdr:nvSpPr>
          <xdr:cNvPr id="19" name="CaixaDeTexto 23">
            <a:extLst>
              <a:ext uri="{FF2B5EF4-FFF2-40B4-BE49-F238E27FC236}">
                <a16:creationId xmlns:a16="http://schemas.microsoft.com/office/drawing/2014/main" id="{1018E24D-8B42-7A92-BBC2-1401D97FB0DA}"/>
              </a:ext>
            </a:extLst>
          </xdr:cNvPr>
          <xdr:cNvSpPr txBox="1"/>
        </xdr:nvSpPr>
        <xdr:spPr>
          <a:xfrm>
            <a:off x="4692016" y="6012179"/>
            <a:ext cx="419099" cy="2343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F1E7A49-3C63-41C7-90A0-27F6FBE3641A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</a:t>
            </a:fld>
            <a:endParaRPr lang="pt-BR" sz="100"/>
          </a:p>
        </xdr:txBody>
      </xdr:sp>
      <xdr:sp macro="" textlink="$C$31">
        <xdr:nvSpPr>
          <xdr:cNvPr id="20" name="CaixaDeTexto 24">
            <a:extLst>
              <a:ext uri="{FF2B5EF4-FFF2-40B4-BE49-F238E27FC236}">
                <a16:creationId xmlns:a16="http://schemas.microsoft.com/office/drawing/2014/main" id="{C1307CC6-C820-B812-4C15-E483C3AD8F47}"/>
              </a:ext>
            </a:extLst>
          </xdr:cNvPr>
          <xdr:cNvSpPr txBox="1"/>
        </xdr:nvSpPr>
        <xdr:spPr>
          <a:xfrm>
            <a:off x="4693921" y="6259829"/>
            <a:ext cx="419099" cy="2305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E589ED-13C0-4620-83CD-E14C600F509A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u</a:t>
            </a:fld>
            <a:endParaRPr lang="pt-BR" sz="100"/>
          </a:p>
        </xdr:txBody>
      </xdr:sp>
      <xdr:sp macro="" textlink="$C$32">
        <xdr:nvSpPr>
          <xdr:cNvPr id="21" name="CaixaDeTexto 25">
            <a:extLst>
              <a:ext uri="{FF2B5EF4-FFF2-40B4-BE49-F238E27FC236}">
                <a16:creationId xmlns:a16="http://schemas.microsoft.com/office/drawing/2014/main" id="{B0FC4A74-9763-E47C-A540-2FC896C734D8}"/>
              </a:ext>
            </a:extLst>
          </xdr:cNvPr>
          <xdr:cNvSpPr txBox="1"/>
        </xdr:nvSpPr>
        <xdr:spPr>
          <a:xfrm>
            <a:off x="4693921" y="6497954"/>
            <a:ext cx="419099" cy="2362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4768B86-DBC8-4A7E-9866-9A930AD2E96A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u</a:t>
            </a:fld>
            <a:endParaRPr lang="pt-BR" sz="100"/>
          </a:p>
        </xdr:txBody>
      </xdr:sp>
      <xdr:sp macro="" textlink="$C$33">
        <xdr:nvSpPr>
          <xdr:cNvPr id="22" name="CaixaDeTexto 26">
            <a:extLst>
              <a:ext uri="{FF2B5EF4-FFF2-40B4-BE49-F238E27FC236}">
                <a16:creationId xmlns:a16="http://schemas.microsoft.com/office/drawing/2014/main" id="{10FABC88-73AB-DC2A-BAD1-7B4B268DA9E9}"/>
              </a:ext>
            </a:extLst>
          </xdr:cNvPr>
          <xdr:cNvSpPr txBox="1"/>
        </xdr:nvSpPr>
        <xdr:spPr>
          <a:xfrm>
            <a:off x="4692016" y="6726554"/>
            <a:ext cx="419099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B376A26-E421-4579-9CA1-4AAFA9C10F08}" type="TxLink">
              <a:rPr lang="en-US" sz="9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u</a:t>
            </a:fld>
            <a:endParaRPr lang="pt-BR" sz="100"/>
          </a:p>
        </xdr:txBody>
      </xdr:sp>
    </xdr:grpSp>
    <xdr:clientData/>
  </xdr:twoCellAnchor>
  <xdr:twoCellAnchor editAs="absolute">
    <xdr:from>
      <xdr:col>0</xdr:col>
      <xdr:colOff>209492</xdr:colOff>
      <xdr:row>27</xdr:row>
      <xdr:rowOff>211240</xdr:rowOff>
    </xdr:from>
    <xdr:to>
      <xdr:col>1</xdr:col>
      <xdr:colOff>57322</xdr:colOff>
      <xdr:row>37</xdr:row>
      <xdr:rowOff>173801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42914F6-EE07-4D00-872D-6B492F2A2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57718</xdr:colOff>
      <xdr:row>0</xdr:row>
      <xdr:rowOff>38583</xdr:rowOff>
    </xdr:from>
    <xdr:to>
      <xdr:col>0</xdr:col>
      <xdr:colOff>1716911</xdr:colOff>
      <xdr:row>4</xdr:row>
      <xdr:rowOff>67520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4983F64-E9AC-455B-893C-AA2E5F180B13}"/>
            </a:ext>
          </a:extLst>
        </xdr:cNvPr>
        <xdr:cNvSpPr txBox="1"/>
      </xdr:nvSpPr>
      <xdr:spPr>
        <a:xfrm>
          <a:off x="57718" y="38583"/>
          <a:ext cx="1659193" cy="762000"/>
        </a:xfrm>
        <a:prstGeom prst="rect">
          <a:avLst/>
        </a:prstGeom>
        <a:solidFill>
          <a:srgbClr val="FFC01C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pt-BR" sz="2000" b="1"/>
            <a:t>Planejamento Estratégico</a:t>
          </a:r>
        </a:p>
      </xdr:txBody>
    </xdr:sp>
    <xdr:clientData/>
  </xdr:twoCellAnchor>
  <xdr:twoCellAnchor editAs="oneCell">
    <xdr:from>
      <xdr:col>0</xdr:col>
      <xdr:colOff>193289</xdr:colOff>
      <xdr:row>6</xdr:row>
      <xdr:rowOff>87953</xdr:rowOff>
    </xdr:from>
    <xdr:to>
      <xdr:col>0</xdr:col>
      <xdr:colOff>2402126</xdr:colOff>
      <xdr:row>9</xdr:row>
      <xdr:rowOff>59016</xdr:rowOff>
    </xdr:to>
    <xdr:pic macro="[0]!Amplia">
      <xdr:nvPicPr>
        <xdr:cNvPr id="25" name="Google Shape;784;p49" title="LogoColorHorizontal.png">
          <a:extLst>
            <a:ext uri="{FF2B5EF4-FFF2-40B4-BE49-F238E27FC236}">
              <a16:creationId xmlns:a16="http://schemas.microsoft.com/office/drawing/2014/main" id="{69C95ECB-81E3-56E2-E6BC-FCE1B795DE36}"/>
            </a:ext>
          </a:extLst>
        </xdr:cNvPr>
        <xdr:cNvPicPr preferRelativeResize="0"/>
      </xdr:nvPicPr>
      <xdr:blipFill>
        <a:blip xmlns:r="http://schemas.openxmlformats.org/officeDocument/2006/relationships" r:embed="rId3">
          <a:alphaModFix/>
        </a:blip>
        <a:stretch>
          <a:fillRect/>
        </a:stretch>
      </xdr:blipFill>
      <xdr:spPr>
        <a:xfrm>
          <a:off x="193289" y="1170795"/>
          <a:ext cx="2208837" cy="52251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3427</xdr:colOff>
      <xdr:row>7</xdr:row>
      <xdr:rowOff>59919</xdr:rowOff>
    </xdr:from>
    <xdr:to>
      <xdr:col>13</xdr:col>
      <xdr:colOff>8797</xdr:colOff>
      <xdr:row>8</xdr:row>
      <xdr:rowOff>162087</xdr:rowOff>
    </xdr:to>
    <xdr:sp macro="[0]!Carrega_PERT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6C5C879C-E048-4960-36ED-1236D8CA15AC}"/>
            </a:ext>
          </a:extLst>
        </xdr:cNvPr>
        <xdr:cNvSpPr/>
      </xdr:nvSpPr>
      <xdr:spPr>
        <a:xfrm>
          <a:off x="14425398" y="1314978"/>
          <a:ext cx="1551781" cy="292668"/>
        </a:xfrm>
        <a:prstGeom prst="roundRect">
          <a:avLst/>
        </a:prstGeom>
        <a:solidFill>
          <a:srgbClr val="FFC01C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Estimativa - PERT</a:t>
          </a:r>
        </a:p>
      </xdr:txBody>
    </xdr:sp>
    <xdr:clientData/>
  </xdr:twoCellAnchor>
  <xdr:twoCellAnchor editAs="absolute">
    <xdr:from>
      <xdr:col>0</xdr:col>
      <xdr:colOff>1695536</xdr:colOff>
      <xdr:row>0</xdr:row>
      <xdr:rowOff>28208</xdr:rowOff>
    </xdr:from>
    <xdr:to>
      <xdr:col>0</xdr:col>
      <xdr:colOff>2588559</xdr:colOff>
      <xdr:row>4</xdr:row>
      <xdr:rowOff>71620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24E0A91A-982A-4814-92F0-123491787CAE}"/>
            </a:ext>
          </a:extLst>
        </xdr:cNvPr>
        <xdr:cNvSpPr txBox="1"/>
      </xdr:nvSpPr>
      <xdr:spPr>
        <a:xfrm>
          <a:off x="1695536" y="28208"/>
          <a:ext cx="893023" cy="760588"/>
        </a:xfrm>
        <a:prstGeom prst="rect">
          <a:avLst/>
        </a:prstGeom>
        <a:solidFill>
          <a:srgbClr val="FFC01C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/>
            <a:t>2026</a:t>
          </a:r>
          <a:endParaRPr lang="pt-BR" sz="1600" b="1"/>
        </a:p>
      </xdr:txBody>
    </xdr:sp>
    <xdr:clientData/>
  </xdr:twoCellAnchor>
  <xdr:twoCellAnchor>
    <xdr:from>
      <xdr:col>0</xdr:col>
      <xdr:colOff>1698078</xdr:colOff>
      <xdr:row>0</xdr:row>
      <xdr:rowOff>49267</xdr:rowOff>
    </xdr:from>
    <xdr:to>
      <xdr:col>0</xdr:col>
      <xdr:colOff>1698078</xdr:colOff>
      <xdr:row>4</xdr:row>
      <xdr:rowOff>59121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44EE3072-9C2D-EE11-45B5-5D3C77EDA1BA}"/>
            </a:ext>
          </a:extLst>
        </xdr:cNvPr>
        <xdr:cNvCxnSpPr/>
      </xdr:nvCxnSpPr>
      <xdr:spPr>
        <a:xfrm>
          <a:off x="1698078" y="49267"/>
          <a:ext cx="0" cy="7455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593</xdr:colOff>
      <xdr:row>4</xdr:row>
      <xdr:rowOff>170448</xdr:rowOff>
    </xdr:from>
    <xdr:to>
      <xdr:col>14</xdr:col>
      <xdr:colOff>148627</xdr:colOff>
      <xdr:row>8</xdr:row>
      <xdr:rowOff>182833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90BCE7F2-F50D-312F-9B2B-1F6C2707A5A2}"/>
            </a:ext>
          </a:extLst>
        </xdr:cNvPr>
        <xdr:cNvGrpSpPr/>
      </xdr:nvGrpSpPr>
      <xdr:grpSpPr>
        <a:xfrm>
          <a:off x="15964493" y="894348"/>
          <a:ext cx="1129109" cy="736285"/>
          <a:chOff x="12664980" y="892344"/>
          <a:chExt cx="1102894" cy="734077"/>
        </a:xfrm>
      </xdr:grpSpPr>
      <xdr:pic macro="[0]!Carrga_Faixa">
        <xdr:nvPicPr>
          <xdr:cNvPr id="29" name="Gráfico 28" descr="Baú de tesouro estrutura de tópicos">
            <a:extLst>
              <a:ext uri="{FF2B5EF4-FFF2-40B4-BE49-F238E27FC236}">
                <a16:creationId xmlns:a16="http://schemas.microsoft.com/office/drawing/2014/main" id="{236A921D-E159-31CA-44C0-830467B4D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903868" y="892344"/>
            <a:ext cx="551448" cy="551448"/>
          </a:xfrm>
          <a:prstGeom prst="rect">
            <a:avLst/>
          </a:prstGeom>
        </xdr:spPr>
      </xdr:pic>
      <xdr:sp macro="[0]!Carrga_Faixa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9B3DBA7-4CCA-D4FB-E594-95DED864ADF7}"/>
              </a:ext>
            </a:extLst>
          </xdr:cNvPr>
          <xdr:cNvSpPr txBox="1"/>
        </xdr:nvSpPr>
        <xdr:spPr>
          <a:xfrm>
            <a:off x="12664980" y="1365737"/>
            <a:ext cx="1102894" cy="2606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/>
              <a:t>FAIXA VALORES</a:t>
            </a:r>
          </a:p>
        </xdr:txBody>
      </xdr:sp>
    </xdr:grpSp>
    <xdr:clientData/>
  </xdr:twoCellAnchor>
  <xdr:twoCellAnchor editAs="oneCell">
    <xdr:from>
      <xdr:col>4</xdr:col>
      <xdr:colOff>6049459</xdr:colOff>
      <xdr:row>4</xdr:row>
      <xdr:rowOff>54363</xdr:rowOff>
    </xdr:from>
    <xdr:to>
      <xdr:col>5</xdr:col>
      <xdr:colOff>152806</xdr:colOff>
      <xdr:row>6</xdr:row>
      <xdr:rowOff>94467</xdr:rowOff>
    </xdr:to>
    <xdr:pic>
      <xdr:nvPicPr>
        <xdr:cNvPr id="33" name="Gráfico 32" descr="Início com preenchimento sólid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327F05-EA57-B690-59E9-D0EFB2B4A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93930" y="771539"/>
          <a:ext cx="401052" cy="398693"/>
        </a:xfrm>
        <a:prstGeom prst="rect">
          <a:avLst/>
        </a:prstGeom>
      </xdr:spPr>
    </xdr:pic>
    <xdr:clientData/>
  </xdr:twoCellAnchor>
  <xdr:twoCellAnchor editAs="absolute">
    <xdr:from>
      <xdr:col>6</xdr:col>
      <xdr:colOff>240927</xdr:colOff>
      <xdr:row>0</xdr:row>
      <xdr:rowOff>0</xdr:rowOff>
    </xdr:from>
    <xdr:to>
      <xdr:col>8</xdr:col>
      <xdr:colOff>638737</xdr:colOff>
      <xdr:row>9</xdr:row>
      <xdr:rowOff>89647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8D94DCFC-41C5-BB7C-6546-094FC2546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396240</xdr:colOff>
      <xdr:row>0</xdr:row>
      <xdr:rowOff>22860</xdr:rowOff>
    </xdr:from>
    <xdr:to>
      <xdr:col>13</xdr:col>
      <xdr:colOff>3625190</xdr:colOff>
      <xdr:row>1</xdr:row>
      <xdr:rowOff>168761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4597799-1FE3-44DE-B62B-BD79F06827F9}"/>
            </a:ext>
          </a:extLst>
        </xdr:cNvPr>
        <xdr:cNvSpPr txBox="1"/>
      </xdr:nvSpPr>
      <xdr:spPr>
        <a:xfrm>
          <a:off x="7101840" y="22860"/>
          <a:ext cx="3977640" cy="317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/>
            <a:t>Curva ABC de Atratividade - TOP 30</a:t>
          </a:r>
        </a:p>
      </xdr:txBody>
    </xdr:sp>
    <xdr:clientData/>
  </xdr:twoCellAnchor>
  <xdr:twoCellAnchor editAs="oneCell">
    <xdr:from>
      <xdr:col>7</xdr:col>
      <xdr:colOff>344882</xdr:colOff>
      <xdr:row>3</xdr:row>
      <xdr:rowOff>104661</xdr:rowOff>
    </xdr:from>
    <xdr:to>
      <xdr:col>8</xdr:col>
      <xdr:colOff>336884</xdr:colOff>
      <xdr:row>5</xdr:row>
      <xdr:rowOff>138503</xdr:rowOff>
    </xdr:to>
    <xdr:pic macro="[0]!Plota_Grafico">
      <xdr:nvPicPr>
        <xdr:cNvPr id="13" name="Gráfico 12" descr="Avançar Rápido estrutura de tópicos">
          <a:extLst>
            <a:ext uri="{FF2B5EF4-FFF2-40B4-BE49-F238E27FC236}">
              <a16:creationId xmlns:a16="http://schemas.microsoft.com/office/drawing/2014/main" id="{8BD2BE84-079D-A52E-BA01-AAE807F16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12082" y="706240"/>
          <a:ext cx="601602" cy="434895"/>
        </a:xfrm>
        <a:prstGeom prst="rect">
          <a:avLst/>
        </a:prstGeom>
      </xdr:spPr>
    </xdr:pic>
    <xdr:clientData/>
  </xdr:twoCellAnchor>
  <xdr:twoCellAnchor editAs="absolute">
    <xdr:from>
      <xdr:col>0</xdr:col>
      <xdr:colOff>53341</xdr:colOff>
      <xdr:row>0</xdr:row>
      <xdr:rowOff>57150</xdr:rowOff>
    </xdr:from>
    <xdr:to>
      <xdr:col>8</xdr:col>
      <xdr:colOff>393033</xdr:colOff>
      <xdr:row>33</xdr:row>
      <xdr:rowOff>16042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29E0041-AEB9-E0A4-4A59-3E4943F4BCCE}"/>
            </a:ext>
          </a:extLst>
        </xdr:cNvPr>
        <xdr:cNvSpPr/>
      </xdr:nvSpPr>
      <xdr:spPr>
        <a:xfrm>
          <a:off x="53341" y="57150"/>
          <a:ext cx="5216492" cy="6496050"/>
        </a:xfrm>
        <a:prstGeom prst="rect">
          <a:avLst/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507884</xdr:colOff>
      <xdr:row>23</xdr:row>
      <xdr:rowOff>124125</xdr:rowOff>
    </xdr:from>
    <xdr:to>
      <xdr:col>8</xdr:col>
      <xdr:colOff>320842</xdr:colOff>
      <xdr:row>31</xdr:row>
      <xdr:rowOff>192505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D8B415F-FFD5-49E2-9CA1-4C413A619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113560</xdr:colOff>
      <xdr:row>26</xdr:row>
      <xdr:rowOff>57134</xdr:rowOff>
    </xdr:from>
    <xdr:to>
      <xdr:col>2</xdr:col>
      <xdr:colOff>112889</xdr:colOff>
      <xdr:row>31</xdr:row>
      <xdr:rowOff>180474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4486DA3F-0B34-45B3-B1A6-4FB498078318}"/>
            </a:ext>
          </a:extLst>
        </xdr:cNvPr>
        <xdr:cNvSpPr txBox="1"/>
      </xdr:nvSpPr>
      <xdr:spPr>
        <a:xfrm>
          <a:off x="113560" y="5020160"/>
          <a:ext cx="1182434" cy="1035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400" b="1"/>
            <a:t>Dirpersão das iniciativas</a:t>
          </a:r>
        </a:p>
      </xdr:txBody>
    </xdr:sp>
    <xdr:clientData/>
  </xdr:twoCellAnchor>
  <xdr:twoCellAnchor>
    <xdr:from>
      <xdr:col>0</xdr:col>
      <xdr:colOff>68579</xdr:colOff>
      <xdr:row>0</xdr:row>
      <xdr:rowOff>53340</xdr:rowOff>
    </xdr:from>
    <xdr:to>
      <xdr:col>7</xdr:col>
      <xdr:colOff>340894</xdr:colOff>
      <xdr:row>2</xdr:row>
      <xdr:rowOff>68580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A904EF68-A562-46A8-958D-37163D067FA4}"/>
            </a:ext>
          </a:extLst>
        </xdr:cNvPr>
        <xdr:cNvSpPr txBox="1"/>
      </xdr:nvSpPr>
      <xdr:spPr>
        <a:xfrm>
          <a:off x="68579" y="53340"/>
          <a:ext cx="4413183" cy="406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1"/>
            <a:t>Quadrante Mágico</a:t>
          </a:r>
          <a:r>
            <a:rPr lang="pt-BR" sz="1800" b="1" baseline="0"/>
            <a:t> de Gestão e Priorização</a:t>
          </a:r>
          <a:endParaRPr lang="pt-BR" sz="1800" b="1"/>
        </a:p>
      </xdr:txBody>
    </xdr:sp>
    <xdr:clientData/>
  </xdr:twoCellAnchor>
  <xdr:twoCellAnchor editAs="absolute">
    <xdr:from>
      <xdr:col>0</xdr:col>
      <xdr:colOff>91440</xdr:colOff>
      <xdr:row>5</xdr:row>
      <xdr:rowOff>84579</xdr:rowOff>
    </xdr:from>
    <xdr:to>
      <xdr:col>8</xdr:col>
      <xdr:colOff>296779</xdr:colOff>
      <xdr:row>24</xdr:row>
      <xdr:rowOff>48092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FEDD831-DC05-7A86-14D1-D9B1C6D2F95D}"/>
            </a:ext>
          </a:extLst>
        </xdr:cNvPr>
        <xdr:cNvGrpSpPr/>
      </xdr:nvGrpSpPr>
      <xdr:grpSpPr>
        <a:xfrm>
          <a:off x="91440" y="1056129"/>
          <a:ext cx="4929739" cy="3583013"/>
          <a:chOff x="106680" y="1412521"/>
          <a:chExt cx="6839028" cy="5029567"/>
        </a:xfrm>
      </xdr:grpSpPr>
      <xdr:graphicFrame macro="">
        <xdr:nvGraphicFramePr>
          <xdr:cNvPr id="7797" name="Quadrante Mágico">
            <a:extLst>
              <a:ext uri="{FF2B5EF4-FFF2-40B4-BE49-F238E27FC236}">
                <a16:creationId xmlns:a16="http://schemas.microsoft.com/office/drawing/2014/main" id="{3561312F-2B19-4C81-B21C-18124F1B4579}"/>
              </a:ext>
            </a:extLst>
          </xdr:cNvPr>
          <xdr:cNvGraphicFramePr>
            <a:graphicFrameLocks/>
          </xdr:cNvGraphicFramePr>
        </xdr:nvGraphicFramePr>
        <xdr:xfrm>
          <a:off x="397788" y="1455331"/>
          <a:ext cx="6545444" cy="47540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2438A2BE-BBAD-907E-ADBD-575696C97304}"/>
              </a:ext>
            </a:extLst>
          </xdr:cNvPr>
          <xdr:cNvGrpSpPr/>
        </xdr:nvGrpSpPr>
        <xdr:grpSpPr>
          <a:xfrm>
            <a:off x="106680" y="1412521"/>
            <a:ext cx="6839028" cy="5029567"/>
            <a:chOff x="76200" y="1339742"/>
            <a:chExt cx="6873240" cy="4720464"/>
          </a:xfrm>
        </xdr:grpSpPr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5B54BEA-D561-499E-A291-1EB97C779FD4}"/>
                </a:ext>
              </a:extLst>
            </xdr:cNvPr>
            <xdr:cNvSpPr txBox="1"/>
          </xdr:nvSpPr>
          <xdr:spPr>
            <a:xfrm>
              <a:off x="3642359" y="3512908"/>
              <a:ext cx="2439248" cy="29974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100" b="1"/>
                <a:t>Q2 - Impulsionador</a:t>
              </a:r>
            </a:p>
          </xdr:txBody>
        </xdr:sp>
        <xdr:grpSp>
          <xdr:nvGrpSpPr>
            <xdr:cNvPr id="18" name="Agrupar 17">
              <a:extLst>
                <a:ext uri="{FF2B5EF4-FFF2-40B4-BE49-F238E27FC236}">
                  <a16:creationId xmlns:a16="http://schemas.microsoft.com/office/drawing/2014/main" id="{4EFF6178-DB0A-65B9-10E5-EB22EFE639B5}"/>
                </a:ext>
              </a:extLst>
            </xdr:cNvPr>
            <xdr:cNvGrpSpPr/>
          </xdr:nvGrpSpPr>
          <xdr:grpSpPr>
            <a:xfrm>
              <a:off x="76200" y="1339742"/>
              <a:ext cx="6873240" cy="4720464"/>
              <a:chOff x="815340" y="1129021"/>
              <a:chExt cx="5859780" cy="3747831"/>
            </a:xfrm>
          </xdr:grpSpPr>
          <xdr:sp macro="" textlink="">
            <xdr:nvSpPr>
              <xdr:cNvPr id="3" name="CaixaDeTexto 2">
                <a:extLst>
                  <a:ext uri="{FF2B5EF4-FFF2-40B4-BE49-F238E27FC236}">
                    <a16:creationId xmlns:a16="http://schemas.microsoft.com/office/drawing/2014/main" id="{D6DF4A9D-48B4-4E36-38E2-FD74AE734850}"/>
                  </a:ext>
                </a:extLst>
              </xdr:cNvPr>
              <xdr:cNvSpPr txBox="1"/>
            </xdr:nvSpPr>
            <xdr:spPr>
              <a:xfrm rot="16200000">
                <a:off x="-826770" y="2796540"/>
                <a:ext cx="3539490" cy="255270"/>
              </a:xfrm>
              <a:prstGeom prst="rect">
                <a:avLst/>
              </a:prstGeom>
              <a:solidFill>
                <a:schemeClr val="accent1">
                  <a:lumMod val="5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 b="1">
                    <a:solidFill>
                      <a:schemeClr val="bg1"/>
                    </a:solidFill>
                  </a:rPr>
                  <a:t>RETORNO</a:t>
                </a:r>
              </a:p>
            </xdr:txBody>
          </xdr:sp>
          <xdr:sp macro="" textlink="">
            <xdr:nvSpPr>
              <xdr:cNvPr id="4" name="CaixaDeTexto 3">
                <a:extLst>
                  <a:ext uri="{FF2B5EF4-FFF2-40B4-BE49-F238E27FC236}">
                    <a16:creationId xmlns:a16="http://schemas.microsoft.com/office/drawing/2014/main" id="{D3741BA1-EB35-4AAC-BF3C-1D7C86C41EB9}"/>
                  </a:ext>
                </a:extLst>
              </xdr:cNvPr>
              <xdr:cNvSpPr txBox="1"/>
            </xdr:nvSpPr>
            <xdr:spPr>
              <a:xfrm>
                <a:off x="815340" y="4686300"/>
                <a:ext cx="5859780" cy="190552"/>
              </a:xfrm>
              <a:prstGeom prst="rect">
                <a:avLst/>
              </a:prstGeom>
              <a:solidFill>
                <a:schemeClr val="accent1">
                  <a:lumMod val="5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 b="1">
                    <a:solidFill>
                      <a:schemeClr val="bg1"/>
                    </a:solidFill>
                  </a:rPr>
                  <a:t>PERFORMANCE</a:t>
                </a:r>
              </a:p>
            </xdr:txBody>
          </xdr:sp>
          <xdr:cxnSp macro="">
            <xdr:nvCxnSpPr>
              <xdr:cNvPr id="6" name="Conector reto 5">
                <a:extLst>
                  <a:ext uri="{FF2B5EF4-FFF2-40B4-BE49-F238E27FC236}">
                    <a16:creationId xmlns:a16="http://schemas.microsoft.com/office/drawing/2014/main" id="{D7667B7C-0C3B-E18D-B747-7E087027B740}"/>
                  </a:ext>
                </a:extLst>
              </xdr:cNvPr>
              <xdr:cNvCxnSpPr/>
            </xdr:nvCxnSpPr>
            <xdr:spPr>
              <a:xfrm>
                <a:off x="1097280" y="2852245"/>
                <a:ext cx="5562600" cy="0"/>
              </a:xfrm>
              <a:prstGeom prst="line">
                <a:avLst/>
              </a:prstGeom>
              <a:ln>
                <a:solidFill>
                  <a:schemeClr val="tx2">
                    <a:lumMod val="40000"/>
                    <a:lumOff val="60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Conector reto 7">
                <a:extLst>
                  <a:ext uri="{FF2B5EF4-FFF2-40B4-BE49-F238E27FC236}">
                    <a16:creationId xmlns:a16="http://schemas.microsoft.com/office/drawing/2014/main" id="{28E8B252-31A6-416D-A9C1-9B3518EFAAB5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3878580" y="1139190"/>
                <a:ext cx="0" cy="3547110"/>
              </a:xfrm>
              <a:prstGeom prst="line">
                <a:avLst/>
              </a:prstGeom>
              <a:ln>
                <a:solidFill>
                  <a:schemeClr val="tx2">
                    <a:lumMod val="40000"/>
                    <a:lumOff val="60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" name="CaixaDeTexto 13">
                <a:extLst>
                  <a:ext uri="{FF2B5EF4-FFF2-40B4-BE49-F238E27FC236}">
                    <a16:creationId xmlns:a16="http://schemas.microsoft.com/office/drawing/2014/main" id="{A5336F28-9F6D-4163-A7B1-59A4A1FF39D9}"/>
                  </a:ext>
                </a:extLst>
              </xdr:cNvPr>
              <xdr:cNvSpPr txBox="1"/>
            </xdr:nvSpPr>
            <xdr:spPr>
              <a:xfrm>
                <a:off x="3870714" y="1129021"/>
                <a:ext cx="1650283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1100" b="1"/>
                  <a:t>Q1 - Alavancador</a:t>
                </a:r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C66BB51C-1423-2746-A3AC-C67334C98AB0}"/>
                  </a:ext>
                </a:extLst>
              </xdr:cNvPr>
              <xdr:cNvSpPr/>
            </xdr:nvSpPr>
            <xdr:spPr>
              <a:xfrm>
                <a:off x="3878580" y="1154151"/>
                <a:ext cx="2788920" cy="1725891"/>
              </a:xfrm>
              <a:prstGeom prst="rect">
                <a:avLst/>
              </a:prstGeom>
              <a:noFill/>
              <a:ln>
                <a:solidFill>
                  <a:schemeClr val="accent1">
                    <a:shade val="15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C73546FA-A91E-47F0-890D-17564A736598}"/>
                </a:ext>
              </a:extLst>
            </xdr:cNvPr>
            <xdr:cNvSpPr txBox="1"/>
          </xdr:nvSpPr>
          <xdr:spPr>
            <a:xfrm>
              <a:off x="358139" y="1377842"/>
              <a:ext cx="2335395" cy="2879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100" b="1"/>
                <a:t>Q3 - Valor</a:t>
              </a:r>
              <a:r>
                <a:rPr lang="pt-BR" sz="1100" b="1" baseline="0"/>
                <a:t> Percebido</a:t>
              </a:r>
              <a:endParaRPr lang="pt-BR" sz="1100" b="1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CF41886A-0D51-4E12-84A5-9B82D79ED473}"/>
                </a:ext>
              </a:extLst>
            </xdr:cNvPr>
            <xdr:cNvSpPr txBox="1"/>
          </xdr:nvSpPr>
          <xdr:spPr>
            <a:xfrm>
              <a:off x="358139" y="3488582"/>
              <a:ext cx="2177769" cy="2879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100" b="1"/>
                <a:t>Q4 - Menor Relevância</a:t>
              </a:r>
            </a:p>
          </xdr:txBody>
        </xdr:sp>
      </xdr:grpSp>
    </xdr:grpSp>
    <xdr:clientData/>
  </xdr:twoCellAnchor>
  <xdr:twoCellAnchor editAs="oneCell">
    <xdr:from>
      <xdr:col>0</xdr:col>
      <xdr:colOff>128337</xdr:colOff>
      <xdr:row>2</xdr:row>
      <xdr:rowOff>112295</xdr:rowOff>
    </xdr:from>
    <xdr:to>
      <xdr:col>3</xdr:col>
      <xdr:colOff>136359</xdr:colOff>
      <xdr:row>4</xdr:row>
      <xdr:rowOff>72189</xdr:rowOff>
    </xdr:to>
    <xdr:pic macro="[0]!Amplia">
      <xdr:nvPicPr>
        <xdr:cNvPr id="10" name="Google Shape;784;p49" title="LogoColorHorizontal.png">
          <a:extLst>
            <a:ext uri="{FF2B5EF4-FFF2-40B4-BE49-F238E27FC236}">
              <a16:creationId xmlns:a16="http://schemas.microsoft.com/office/drawing/2014/main" id="{27BC41C8-0A22-4743-856F-4BC455E6426F}"/>
            </a:ext>
          </a:extLst>
        </xdr:cNvPr>
        <xdr:cNvPicPr preferRelativeResize="0"/>
      </xdr:nvPicPr>
      <xdr:blipFill>
        <a:blip xmlns:r="http://schemas.openxmlformats.org/officeDocument/2006/relationships" r:embed="rId5">
          <a:alphaModFix/>
        </a:blip>
        <a:stretch>
          <a:fillRect/>
        </a:stretch>
      </xdr:blipFill>
      <xdr:spPr>
        <a:xfrm>
          <a:off x="128337" y="481263"/>
          <a:ext cx="1836822" cy="38501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7</xdr:col>
      <xdr:colOff>393032</xdr:colOff>
      <xdr:row>0</xdr:row>
      <xdr:rowOff>24063</xdr:rowOff>
    </xdr:from>
    <xdr:to>
      <xdr:col>8</xdr:col>
      <xdr:colOff>184484</xdr:colOff>
      <xdr:row>2</xdr:row>
      <xdr:rowOff>48126</xdr:rowOff>
    </xdr:to>
    <xdr:pic>
      <xdr:nvPicPr>
        <xdr:cNvPr id="7" name="Gráfico 6" descr="Início com preenchimento sólid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FCFC0E-FAE6-4E4E-AFC4-D1D661F05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60232" y="24063"/>
          <a:ext cx="401052" cy="4010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45560</xdr:rowOff>
    </xdr:from>
    <xdr:to>
      <xdr:col>12</xdr:col>
      <xdr:colOff>551793</xdr:colOff>
      <xdr:row>11</xdr:row>
      <xdr:rowOff>105550</xdr:rowOff>
    </xdr:to>
    <xdr:grpSp>
      <xdr:nvGrpSpPr>
        <xdr:cNvPr id="7204" name="Agrupar 7203">
          <a:extLst>
            <a:ext uri="{FF2B5EF4-FFF2-40B4-BE49-F238E27FC236}">
              <a16:creationId xmlns:a16="http://schemas.microsoft.com/office/drawing/2014/main" id="{C7693068-04F6-4508-66C8-D999B032C695}"/>
            </a:ext>
          </a:extLst>
        </xdr:cNvPr>
        <xdr:cNvGrpSpPr/>
      </xdr:nvGrpSpPr>
      <xdr:grpSpPr>
        <a:xfrm>
          <a:off x="0" y="1855310"/>
          <a:ext cx="7638393" cy="240965"/>
          <a:chOff x="0" y="2147630"/>
          <a:chExt cx="7866993" cy="243921"/>
        </a:xfrm>
      </xdr:grpSpPr>
      <xdr:grpSp>
        <xdr:nvGrpSpPr>
          <xdr:cNvPr id="24" name="Agrupar 35">
            <a:extLst>
              <a:ext uri="{FF2B5EF4-FFF2-40B4-BE49-F238E27FC236}">
                <a16:creationId xmlns:a16="http://schemas.microsoft.com/office/drawing/2014/main" id="{CCED0A33-9AF9-5B26-4A90-9A927D575D57}"/>
              </a:ext>
            </a:extLst>
          </xdr:cNvPr>
          <xdr:cNvGrpSpPr/>
        </xdr:nvGrpSpPr>
        <xdr:grpSpPr>
          <a:xfrm>
            <a:off x="0" y="2147630"/>
            <a:ext cx="7711440" cy="233461"/>
            <a:chOff x="6413351" y="2713618"/>
            <a:chExt cx="7711440" cy="228600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CB8C414-1780-9459-9F24-AE445D6C62BA}"/>
                </a:ext>
              </a:extLst>
            </xdr:cNvPr>
            <xdr:cNvSpPr/>
          </xdr:nvSpPr>
          <xdr:spPr>
            <a:xfrm>
              <a:off x="7476565" y="2770092"/>
              <a:ext cx="6648226" cy="156885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7" name="CaixaDeTexto 32">
              <a:extLst>
                <a:ext uri="{FF2B5EF4-FFF2-40B4-BE49-F238E27FC236}">
                  <a16:creationId xmlns:a16="http://schemas.microsoft.com/office/drawing/2014/main" id="{0EC0CE04-B8E3-1B75-9C39-E96C93B90D54}"/>
                </a:ext>
              </a:extLst>
            </xdr:cNvPr>
            <xdr:cNvSpPr txBox="1"/>
          </xdr:nvSpPr>
          <xdr:spPr>
            <a:xfrm>
              <a:off x="6413351" y="2713618"/>
              <a:ext cx="1125967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1100">
                  <a:solidFill>
                    <a:schemeClr val="tx1"/>
                  </a:solidFill>
                </a:rPr>
                <a:t>Governança</a:t>
              </a:r>
            </a:p>
          </xdr:txBody>
        </xdr:sp>
      </xdr:grpSp>
      <xdr:sp macro="" textlink="">
        <xdr:nvSpPr>
          <xdr:cNvPr id="64" name="Retângulo: Cantos Arredondados 15">
            <a:extLst>
              <a:ext uri="{FF2B5EF4-FFF2-40B4-BE49-F238E27FC236}">
                <a16:creationId xmlns:a16="http://schemas.microsoft.com/office/drawing/2014/main" id="{B76AA7ED-1AF4-4D99-9994-379FF0C8D3C5}"/>
              </a:ext>
            </a:extLst>
          </xdr:cNvPr>
          <xdr:cNvSpPr/>
        </xdr:nvSpPr>
        <xdr:spPr>
          <a:xfrm>
            <a:off x="1066799" y="2198003"/>
            <a:ext cx="6369270" cy="182589"/>
          </a:xfrm>
          <a:prstGeom prst="roundRect">
            <a:avLst/>
          </a:prstGeom>
          <a:solidFill>
            <a:schemeClr val="tx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42">
            <a:extLst>
              <a:ext uri="{FF2B5EF4-FFF2-40B4-BE49-F238E27FC236}">
                <a16:creationId xmlns:a16="http://schemas.microsoft.com/office/drawing/2014/main" id="{25324E09-DD3C-46BE-B581-FE3304F68DC0}"/>
              </a:ext>
            </a:extLst>
          </xdr:cNvPr>
          <xdr:cNvSpPr txBox="1"/>
        </xdr:nvSpPr>
        <xdr:spPr>
          <a:xfrm>
            <a:off x="7374052" y="2150311"/>
            <a:ext cx="492941" cy="232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/>
              <a:t>91%</a:t>
            </a:r>
          </a:p>
        </xdr:txBody>
      </xdr:sp>
      <xdr:sp macro="" textlink="">
        <xdr:nvSpPr>
          <xdr:cNvPr id="66" name="Elipse 65">
            <a:extLst>
              <a:ext uri="{FF2B5EF4-FFF2-40B4-BE49-F238E27FC236}">
                <a16:creationId xmlns:a16="http://schemas.microsoft.com/office/drawing/2014/main" id="{2E1F2419-155A-48DC-B760-808B1A1ADB19}"/>
              </a:ext>
            </a:extLst>
          </xdr:cNvPr>
          <xdr:cNvSpPr/>
        </xdr:nvSpPr>
        <xdr:spPr>
          <a:xfrm>
            <a:off x="6729846" y="2183261"/>
            <a:ext cx="196684" cy="208290"/>
          </a:xfrm>
          <a:prstGeom prst="ellipse">
            <a:avLst/>
          </a:prstGeom>
          <a:gradFill>
            <a:gsLst>
              <a:gs pos="0">
                <a:srgbClr val="FFFF00"/>
              </a:gs>
              <a:gs pos="50000">
                <a:srgbClr val="FFFF00"/>
              </a:gs>
              <a:gs pos="100000">
                <a:srgbClr val="FFFF00"/>
              </a:gs>
            </a:gsLst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7" name="CaixaDeTexto 42">
            <a:extLst>
              <a:ext uri="{FF2B5EF4-FFF2-40B4-BE49-F238E27FC236}">
                <a16:creationId xmlns:a16="http://schemas.microsoft.com/office/drawing/2014/main" id="{C46C1AD5-AB98-45F5-BF8D-59AD9964C291}"/>
              </a:ext>
            </a:extLst>
          </xdr:cNvPr>
          <xdr:cNvSpPr txBox="1"/>
        </xdr:nvSpPr>
        <xdr:spPr>
          <a:xfrm>
            <a:off x="6870817" y="2148971"/>
            <a:ext cx="490366" cy="2123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>
                <a:solidFill>
                  <a:schemeClr val="bg1"/>
                </a:solidFill>
              </a:rPr>
              <a:t>83%</a:t>
            </a:r>
          </a:p>
        </xdr:txBody>
      </xdr:sp>
      <xdr:sp macro="" textlink="">
        <xdr:nvSpPr>
          <xdr:cNvPr id="7191" name="CaixaDeTexto 42">
            <a:extLst>
              <a:ext uri="{FF2B5EF4-FFF2-40B4-BE49-F238E27FC236}">
                <a16:creationId xmlns:a16="http://schemas.microsoft.com/office/drawing/2014/main" id="{3F8D6538-ABF0-41BE-BEE9-726736E77799}"/>
              </a:ext>
            </a:extLst>
          </xdr:cNvPr>
          <xdr:cNvSpPr txBox="1"/>
        </xdr:nvSpPr>
        <xdr:spPr>
          <a:xfrm>
            <a:off x="1023257" y="2157581"/>
            <a:ext cx="3012715" cy="2162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900" b="0" i="1">
                <a:solidFill>
                  <a:schemeClr val="bg1"/>
                </a:solidFill>
              </a:rPr>
              <a:t>desvio negativo de </a:t>
            </a:r>
            <a:r>
              <a:rPr lang="en-US" sz="900" b="1" i="1">
                <a:solidFill>
                  <a:schemeClr val="bg1"/>
                </a:solidFill>
              </a:rPr>
              <a:t>8%</a:t>
            </a:r>
          </a:p>
        </xdr:txBody>
      </xdr:sp>
    </xdr:grpSp>
    <xdr:clientData/>
  </xdr:twoCellAnchor>
  <xdr:twoCellAnchor editAs="absolute">
    <xdr:from>
      <xdr:col>0</xdr:col>
      <xdr:colOff>0</xdr:colOff>
      <xdr:row>4</xdr:row>
      <xdr:rowOff>92781</xdr:rowOff>
    </xdr:from>
    <xdr:to>
      <xdr:col>12</xdr:col>
      <xdr:colOff>396240</xdr:colOff>
      <xdr:row>5</xdr:row>
      <xdr:rowOff>140970</xdr:rowOff>
    </xdr:to>
    <xdr:grpSp>
      <xdr:nvGrpSpPr>
        <xdr:cNvPr id="3" name="Agrupar 43">
          <a:extLst>
            <a:ext uri="{FF2B5EF4-FFF2-40B4-BE49-F238E27FC236}">
              <a16:creationId xmlns:a16="http://schemas.microsoft.com/office/drawing/2014/main" id="{71907F7E-7139-4649-8075-CD6A51077817}"/>
            </a:ext>
          </a:extLst>
        </xdr:cNvPr>
        <xdr:cNvGrpSpPr/>
      </xdr:nvGrpSpPr>
      <xdr:grpSpPr>
        <a:xfrm>
          <a:off x="0" y="816681"/>
          <a:ext cx="7482840" cy="229164"/>
          <a:chOff x="6413351" y="2949387"/>
          <a:chExt cx="7711440" cy="234879"/>
        </a:xfrm>
      </xdr:grpSpPr>
      <xdr:grpSp>
        <xdr:nvGrpSpPr>
          <xdr:cNvPr id="4" name="Agrupar 35">
            <a:extLst>
              <a:ext uri="{FF2B5EF4-FFF2-40B4-BE49-F238E27FC236}">
                <a16:creationId xmlns:a16="http://schemas.microsoft.com/office/drawing/2014/main" id="{B9B62E1E-40C1-2E86-A677-5A59510BEE3E}"/>
              </a:ext>
            </a:extLst>
          </xdr:cNvPr>
          <xdr:cNvGrpSpPr/>
        </xdr:nvGrpSpPr>
        <xdr:grpSpPr>
          <a:xfrm>
            <a:off x="6413351" y="2955666"/>
            <a:ext cx="7711440" cy="228600"/>
            <a:chOff x="6413351" y="2713618"/>
            <a:chExt cx="7711440" cy="228600"/>
          </a:xfrm>
        </xdr:grpSpPr>
        <xdr:sp macro="" textlink="">
          <xdr:nvSpPr>
            <xdr:cNvPr id="6" name="Retângulo: Cantos Arredondados 15">
              <a:extLst>
                <a:ext uri="{FF2B5EF4-FFF2-40B4-BE49-F238E27FC236}">
                  <a16:creationId xmlns:a16="http://schemas.microsoft.com/office/drawing/2014/main" id="{EE053C07-BEB9-08AE-5411-D54BDB5DF83E}"/>
                </a:ext>
              </a:extLst>
            </xdr:cNvPr>
            <xdr:cNvSpPr/>
          </xdr:nvSpPr>
          <xdr:spPr>
            <a:xfrm>
              <a:off x="7476565" y="2770092"/>
              <a:ext cx="6648226" cy="156885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7" name="CaixaDeTexto 32">
              <a:extLst>
                <a:ext uri="{FF2B5EF4-FFF2-40B4-BE49-F238E27FC236}">
                  <a16:creationId xmlns:a16="http://schemas.microsoft.com/office/drawing/2014/main" id="{A38F85BA-1DF9-7F72-4CE4-BD5C8C245FC7}"/>
                </a:ext>
              </a:extLst>
            </xdr:cNvPr>
            <xdr:cNvSpPr txBox="1"/>
          </xdr:nvSpPr>
          <xdr:spPr>
            <a:xfrm>
              <a:off x="6413351" y="2713618"/>
              <a:ext cx="1125967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1100">
                  <a:solidFill>
                    <a:schemeClr val="tx1"/>
                  </a:solidFill>
                </a:rPr>
                <a:t>ADM</a:t>
              </a:r>
            </a:p>
          </xdr:txBody>
        </xdr:sp>
      </xdr:grpSp>
      <xdr:sp macro="" textlink="">
        <xdr:nvSpPr>
          <xdr:cNvPr id="5" name="CaixaDeTexto 42">
            <a:extLst>
              <a:ext uri="{FF2B5EF4-FFF2-40B4-BE49-F238E27FC236}">
                <a16:creationId xmlns:a16="http://schemas.microsoft.com/office/drawing/2014/main" id="{53CAE054-3D35-2E2C-6380-25779A3A6760}"/>
              </a:ext>
            </a:extLst>
          </xdr:cNvPr>
          <xdr:cNvSpPr txBox="1"/>
        </xdr:nvSpPr>
        <xdr:spPr>
          <a:xfrm>
            <a:off x="12990027" y="2949387"/>
            <a:ext cx="869575" cy="2151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>
                <a:solidFill>
                  <a:schemeClr val="bg1"/>
                </a:solidFill>
              </a:rPr>
              <a:t>78%</a:t>
            </a:r>
          </a:p>
        </xdr:txBody>
      </xdr:sp>
    </xdr:grpSp>
    <xdr:clientData/>
  </xdr:twoCellAnchor>
  <xdr:twoCellAnchor editAs="absolute">
    <xdr:from>
      <xdr:col>0</xdr:col>
      <xdr:colOff>0</xdr:colOff>
      <xdr:row>7</xdr:row>
      <xdr:rowOff>68819</xdr:rowOff>
    </xdr:from>
    <xdr:to>
      <xdr:col>12</xdr:col>
      <xdr:colOff>396240</xdr:colOff>
      <xdr:row>8</xdr:row>
      <xdr:rowOff>115590</xdr:rowOff>
    </xdr:to>
    <xdr:grpSp>
      <xdr:nvGrpSpPr>
        <xdr:cNvPr id="14" name="Agrupar 35">
          <a:extLst>
            <a:ext uri="{FF2B5EF4-FFF2-40B4-BE49-F238E27FC236}">
              <a16:creationId xmlns:a16="http://schemas.microsoft.com/office/drawing/2014/main" id="{39A5760C-A112-31C6-BF46-972D8C70145D}"/>
            </a:ext>
          </a:extLst>
        </xdr:cNvPr>
        <xdr:cNvGrpSpPr/>
      </xdr:nvGrpSpPr>
      <xdr:grpSpPr>
        <a:xfrm>
          <a:off x="0" y="1335644"/>
          <a:ext cx="7482840" cy="227746"/>
          <a:chOff x="6413351" y="2713618"/>
          <a:chExt cx="7711440" cy="228600"/>
        </a:xfrm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5FF5891B-A88E-DE7D-FF67-B5B9A3EA7AD9}"/>
              </a:ext>
            </a:extLst>
          </xdr:cNvPr>
          <xdr:cNvSpPr/>
        </xdr:nvSpPr>
        <xdr:spPr>
          <a:xfrm>
            <a:off x="7476565" y="2770092"/>
            <a:ext cx="6648226" cy="156885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17" name="CaixaDeTexto 32">
            <a:extLst>
              <a:ext uri="{FF2B5EF4-FFF2-40B4-BE49-F238E27FC236}">
                <a16:creationId xmlns:a16="http://schemas.microsoft.com/office/drawing/2014/main" id="{DA4904D2-A29A-2BA2-C519-DDFB0D99DC58}"/>
              </a:ext>
            </a:extLst>
          </xdr:cNvPr>
          <xdr:cNvSpPr txBox="1"/>
        </xdr:nvSpPr>
        <xdr:spPr>
          <a:xfrm>
            <a:off x="6413351" y="2713618"/>
            <a:ext cx="112596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pt-BR" sz="1100">
                <a:solidFill>
                  <a:schemeClr val="tx1"/>
                </a:solidFill>
              </a:rPr>
              <a:t>Financeiro</a:t>
            </a:r>
          </a:p>
        </xdr:txBody>
      </xdr:sp>
    </xdr:grpSp>
    <xdr:clientData/>
  </xdr:twoCellAnchor>
  <xdr:twoCellAnchor editAs="absolute">
    <xdr:from>
      <xdr:col>0</xdr:col>
      <xdr:colOff>0</xdr:colOff>
      <xdr:row>8</xdr:row>
      <xdr:rowOff>156843</xdr:rowOff>
    </xdr:from>
    <xdr:to>
      <xdr:col>12</xdr:col>
      <xdr:colOff>396240</xdr:colOff>
      <xdr:row>10</xdr:row>
      <xdr:rowOff>11012</xdr:rowOff>
    </xdr:to>
    <xdr:grpSp>
      <xdr:nvGrpSpPr>
        <xdr:cNvPr id="19" name="Agrupar 35">
          <a:extLst>
            <a:ext uri="{FF2B5EF4-FFF2-40B4-BE49-F238E27FC236}">
              <a16:creationId xmlns:a16="http://schemas.microsoft.com/office/drawing/2014/main" id="{46A28B13-6BCC-BEA6-65C3-88F8F57114AC}"/>
            </a:ext>
          </a:extLst>
        </xdr:cNvPr>
        <xdr:cNvGrpSpPr/>
      </xdr:nvGrpSpPr>
      <xdr:grpSpPr>
        <a:xfrm>
          <a:off x="0" y="1604643"/>
          <a:ext cx="7482840" cy="216119"/>
          <a:chOff x="6413351" y="2713618"/>
          <a:chExt cx="7711440" cy="228600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2ADCD738-8C5F-AE3D-EE58-184B26A2D2F3}"/>
              </a:ext>
            </a:extLst>
          </xdr:cNvPr>
          <xdr:cNvSpPr/>
        </xdr:nvSpPr>
        <xdr:spPr>
          <a:xfrm>
            <a:off x="7476565" y="2770092"/>
            <a:ext cx="6648226" cy="156885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22" name="CaixaDeTexto 32">
            <a:extLst>
              <a:ext uri="{FF2B5EF4-FFF2-40B4-BE49-F238E27FC236}">
                <a16:creationId xmlns:a16="http://schemas.microsoft.com/office/drawing/2014/main" id="{4E0988CC-B650-0FE1-BB7B-0CA196CCB23D}"/>
              </a:ext>
            </a:extLst>
          </xdr:cNvPr>
          <xdr:cNvSpPr txBox="1"/>
        </xdr:nvSpPr>
        <xdr:spPr>
          <a:xfrm>
            <a:off x="6413351" y="2713618"/>
            <a:ext cx="112596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pt-BR" sz="1100">
                <a:solidFill>
                  <a:schemeClr val="tx1"/>
                </a:solidFill>
              </a:rPr>
              <a:t>Gente &amp; Cultura</a:t>
            </a:r>
          </a:p>
        </xdr:txBody>
      </xdr:sp>
    </xdr:grpSp>
    <xdr:clientData/>
  </xdr:twoCellAnchor>
  <xdr:twoCellAnchor>
    <xdr:from>
      <xdr:col>1</xdr:col>
      <xdr:colOff>464819</xdr:colOff>
      <xdr:row>4</xdr:row>
      <xdr:rowOff>166803</xdr:rowOff>
    </xdr:from>
    <xdr:to>
      <xdr:col>12</xdr:col>
      <xdr:colOff>36786</xdr:colOff>
      <xdr:row>5</xdr:row>
      <xdr:rowOff>126124</xdr:rowOff>
    </xdr:to>
    <xdr:sp macro="" textlink="">
      <xdr:nvSpPr>
        <xdr:cNvPr id="48" name="Retângulo: Cantos Arredondados 15">
          <a:extLst>
            <a:ext uri="{FF2B5EF4-FFF2-40B4-BE49-F238E27FC236}">
              <a16:creationId xmlns:a16="http://schemas.microsoft.com/office/drawing/2014/main" id="{0CE9DFFC-CB10-4B89-8581-BDBD9444C4C9}"/>
            </a:ext>
          </a:extLst>
        </xdr:cNvPr>
        <xdr:cNvSpPr/>
      </xdr:nvSpPr>
      <xdr:spPr>
        <a:xfrm>
          <a:off x="1074419" y="902527"/>
          <a:ext cx="6277567" cy="143252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562300</xdr:colOff>
      <xdr:row>4</xdr:row>
      <xdr:rowOff>102027</xdr:rowOff>
    </xdr:from>
    <xdr:to>
      <xdr:col>12</xdr:col>
      <xdr:colOff>403125</xdr:colOff>
      <xdr:row>5</xdr:row>
      <xdr:rowOff>155367</xdr:rowOff>
    </xdr:to>
    <xdr:sp macro="" textlink="">
      <xdr:nvSpPr>
        <xdr:cNvPr id="50" name="CaixaDeTexto 42">
          <a:extLst>
            <a:ext uri="{FF2B5EF4-FFF2-40B4-BE49-F238E27FC236}">
              <a16:creationId xmlns:a16="http://schemas.microsoft.com/office/drawing/2014/main" id="{378E0555-A0AA-40D5-AD6C-572C9BAF957A}"/>
            </a:ext>
          </a:extLst>
        </xdr:cNvPr>
        <xdr:cNvSpPr txBox="1"/>
      </xdr:nvSpPr>
      <xdr:spPr>
        <a:xfrm>
          <a:off x="7267900" y="837751"/>
          <a:ext cx="450425" cy="237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b="1">
              <a:solidFill>
                <a:schemeClr val="tx1"/>
              </a:solidFill>
            </a:rPr>
            <a:t>90%</a:t>
          </a:r>
        </a:p>
      </xdr:txBody>
    </xdr:sp>
    <xdr:clientData/>
  </xdr:twoCellAnchor>
  <xdr:twoCellAnchor>
    <xdr:from>
      <xdr:col>0</xdr:col>
      <xdr:colOff>0</xdr:colOff>
      <xdr:row>5</xdr:row>
      <xdr:rowOff>173816</xdr:rowOff>
    </xdr:from>
    <xdr:to>
      <xdr:col>12</xdr:col>
      <xdr:colOff>458453</xdr:colOff>
      <xdr:row>7</xdr:row>
      <xdr:rowOff>41432</xdr:rowOff>
    </xdr:to>
    <xdr:grpSp>
      <xdr:nvGrpSpPr>
        <xdr:cNvPr id="7202" name="Agrupar 7201">
          <a:extLst>
            <a:ext uri="{FF2B5EF4-FFF2-40B4-BE49-F238E27FC236}">
              <a16:creationId xmlns:a16="http://schemas.microsoft.com/office/drawing/2014/main" id="{4AA48473-5FFE-5D06-5737-752699ADC654}"/>
            </a:ext>
          </a:extLst>
        </xdr:cNvPr>
        <xdr:cNvGrpSpPr/>
      </xdr:nvGrpSpPr>
      <xdr:grpSpPr>
        <a:xfrm>
          <a:off x="0" y="1078691"/>
          <a:ext cx="7545053" cy="229566"/>
          <a:chOff x="0" y="1130256"/>
          <a:chExt cx="7773653" cy="235478"/>
        </a:xfrm>
      </xdr:grpSpPr>
      <xdr:grpSp>
        <xdr:nvGrpSpPr>
          <xdr:cNvPr id="7201" name="Agrupar 7200">
            <a:extLst>
              <a:ext uri="{FF2B5EF4-FFF2-40B4-BE49-F238E27FC236}">
                <a16:creationId xmlns:a16="http://schemas.microsoft.com/office/drawing/2014/main" id="{CCF8F092-200D-EC03-CBEF-1FABB1F6D712}"/>
              </a:ext>
            </a:extLst>
          </xdr:cNvPr>
          <xdr:cNvGrpSpPr/>
        </xdr:nvGrpSpPr>
        <xdr:grpSpPr>
          <a:xfrm>
            <a:off x="0" y="1130256"/>
            <a:ext cx="7711440" cy="235478"/>
            <a:chOff x="0" y="1130256"/>
            <a:chExt cx="7711440" cy="235478"/>
          </a:xfrm>
        </xdr:grpSpPr>
        <xdr:grpSp>
          <xdr:nvGrpSpPr>
            <xdr:cNvPr id="9" name="Agrupar 35">
              <a:extLst>
                <a:ext uri="{FF2B5EF4-FFF2-40B4-BE49-F238E27FC236}">
                  <a16:creationId xmlns:a16="http://schemas.microsoft.com/office/drawing/2014/main" id="{86F99D39-1844-A4E1-04DF-B8E126603484}"/>
                </a:ext>
              </a:extLst>
            </xdr:cNvPr>
            <xdr:cNvGrpSpPr/>
          </xdr:nvGrpSpPr>
          <xdr:grpSpPr>
            <a:xfrm>
              <a:off x="0" y="1130256"/>
              <a:ext cx="7711440" cy="233461"/>
              <a:chOff x="6413351" y="2713618"/>
              <a:chExt cx="7711440" cy="228600"/>
            </a:xfrm>
          </xdr:grpSpPr>
          <xdr:sp macro="" textlink="">
            <xdr:nvSpPr>
              <xdr:cNvPr id="11" name="Retângulo: Cantos Arredondados 15">
                <a:extLst>
                  <a:ext uri="{FF2B5EF4-FFF2-40B4-BE49-F238E27FC236}">
                    <a16:creationId xmlns:a16="http://schemas.microsoft.com/office/drawing/2014/main" id="{F5251AE5-7B18-BFF8-F969-AB77B1FC2AAC}"/>
                  </a:ext>
                </a:extLst>
              </xdr:cNvPr>
              <xdr:cNvSpPr/>
            </xdr:nvSpPr>
            <xdr:spPr>
              <a:xfrm>
                <a:off x="7476565" y="2770092"/>
                <a:ext cx="6648226" cy="156885"/>
              </a:xfrm>
              <a:prstGeom prst="roundRect">
                <a:avLst/>
              </a:prstGeom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12" name="CaixaDeTexto 32">
                <a:extLst>
                  <a:ext uri="{FF2B5EF4-FFF2-40B4-BE49-F238E27FC236}">
                    <a16:creationId xmlns:a16="http://schemas.microsoft.com/office/drawing/2014/main" id="{D04747A8-C418-37C9-53E1-5B3B7CDFE470}"/>
                  </a:ext>
                </a:extLst>
              </xdr:cNvPr>
              <xdr:cNvSpPr txBox="1"/>
            </xdr:nvSpPr>
            <xdr:spPr>
              <a:xfrm>
                <a:off x="6413351" y="2713618"/>
                <a:ext cx="1125967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pt-BR" sz="1100">
                    <a:solidFill>
                      <a:schemeClr val="tx1"/>
                    </a:solidFill>
                  </a:rPr>
                  <a:t>Comercial</a:t>
                </a:r>
              </a:p>
            </xdr:txBody>
          </xdr:sp>
        </xdr:grpSp>
        <xdr:sp macro="" textlink="">
          <xdr:nvSpPr>
            <xdr:cNvPr id="51" name="Retângulo: Cantos Arredondados 15">
              <a:extLst>
                <a:ext uri="{FF2B5EF4-FFF2-40B4-BE49-F238E27FC236}">
                  <a16:creationId xmlns:a16="http://schemas.microsoft.com/office/drawing/2014/main" id="{D3E2DD42-BD42-4B56-B5E7-F4C3EA41BD83}"/>
                </a:ext>
              </a:extLst>
            </xdr:cNvPr>
            <xdr:cNvSpPr/>
          </xdr:nvSpPr>
          <xdr:spPr>
            <a:xfrm>
              <a:off x="1059179" y="1196368"/>
              <a:ext cx="5914435" cy="143702"/>
            </a:xfrm>
            <a:prstGeom prst="roundRect">
              <a:avLst/>
            </a:prstGeom>
            <a:solidFill>
              <a:schemeClr val="tx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" name="CaixaDeTexto 42">
              <a:extLst>
                <a:ext uri="{FF2B5EF4-FFF2-40B4-BE49-F238E27FC236}">
                  <a16:creationId xmlns:a16="http://schemas.microsoft.com/office/drawing/2014/main" id="{0915D60D-82ED-45B8-B124-0452387E5E31}"/>
                </a:ext>
              </a:extLst>
            </xdr:cNvPr>
            <xdr:cNvSpPr txBox="1"/>
          </xdr:nvSpPr>
          <xdr:spPr>
            <a:xfrm>
              <a:off x="5444530" y="1134066"/>
              <a:ext cx="535324" cy="2227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b="1">
                  <a:solidFill>
                    <a:schemeClr val="bg1"/>
                  </a:solidFill>
                </a:rPr>
                <a:t>66%</a:t>
              </a:r>
            </a:p>
          </xdr:txBody>
        </xdr:sp>
        <xdr:sp macro="" textlink="">
          <xdr:nvSpPr>
            <xdr:cNvPr id="7178" name="Elipse 7177">
              <a:extLst>
                <a:ext uri="{FF2B5EF4-FFF2-40B4-BE49-F238E27FC236}">
                  <a16:creationId xmlns:a16="http://schemas.microsoft.com/office/drawing/2014/main" id="{0C708B9C-CB15-406C-9A0E-830B4051C33A}"/>
                </a:ext>
              </a:extLst>
            </xdr:cNvPr>
            <xdr:cNvSpPr/>
          </xdr:nvSpPr>
          <xdr:spPr>
            <a:xfrm>
              <a:off x="5308568" y="1156478"/>
              <a:ext cx="196526" cy="209256"/>
            </a:xfrm>
            <a:prstGeom prst="ellipse">
              <a:avLst/>
            </a:prstGeom>
            <a:gradFill>
              <a:gsLst>
                <a:gs pos="0">
                  <a:srgbClr val="C00000"/>
                </a:gs>
                <a:gs pos="50000">
                  <a:srgbClr val="FF0000"/>
                </a:gs>
                <a:gs pos="100000">
                  <a:srgbClr val="FF0000"/>
                </a:gs>
              </a:gsLst>
            </a:gra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7189" name="CaixaDeTexto 42">
              <a:extLst>
                <a:ext uri="{FF2B5EF4-FFF2-40B4-BE49-F238E27FC236}">
                  <a16:creationId xmlns:a16="http://schemas.microsoft.com/office/drawing/2014/main" id="{2EE857BB-F4A4-4D32-BA35-4617439EFE0B}"/>
                </a:ext>
              </a:extLst>
            </xdr:cNvPr>
            <xdr:cNvSpPr txBox="1"/>
          </xdr:nvSpPr>
          <xdr:spPr>
            <a:xfrm>
              <a:off x="1044278" y="1143333"/>
              <a:ext cx="3012715" cy="2162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900" b="0" i="1">
                  <a:solidFill>
                    <a:schemeClr val="bg1"/>
                  </a:solidFill>
                </a:rPr>
                <a:t>desvio negativo de </a:t>
              </a:r>
              <a:r>
                <a:rPr lang="en-US" sz="900" b="1" i="1">
                  <a:solidFill>
                    <a:schemeClr val="bg1"/>
                  </a:solidFill>
                </a:rPr>
                <a:t>17%</a:t>
              </a:r>
            </a:p>
          </xdr:txBody>
        </xdr:sp>
      </xdr:grpSp>
      <xdr:sp macro="" textlink="">
        <xdr:nvSpPr>
          <xdr:cNvPr id="52" name="CaixaDeTexto 42">
            <a:extLst>
              <a:ext uri="{FF2B5EF4-FFF2-40B4-BE49-F238E27FC236}">
                <a16:creationId xmlns:a16="http://schemas.microsoft.com/office/drawing/2014/main" id="{551CC983-225E-458D-A43A-9BB42A45F7A1}"/>
              </a:ext>
            </a:extLst>
          </xdr:cNvPr>
          <xdr:cNvSpPr txBox="1"/>
        </xdr:nvSpPr>
        <xdr:spPr>
          <a:xfrm>
            <a:off x="6904079" y="1135407"/>
            <a:ext cx="869574" cy="2162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/>
              <a:t>83%</a:t>
            </a:r>
          </a:p>
        </xdr:txBody>
      </xdr:sp>
    </xdr:grpSp>
    <xdr:clientData/>
  </xdr:twoCellAnchor>
  <xdr:twoCellAnchor>
    <xdr:from>
      <xdr:col>1</xdr:col>
      <xdr:colOff>464820</xdr:colOff>
      <xdr:row>7</xdr:row>
      <xdr:rowOff>125891</xdr:rowOff>
    </xdr:from>
    <xdr:to>
      <xdr:col>11</xdr:col>
      <xdr:colOff>593834</xdr:colOff>
      <xdr:row>8</xdr:row>
      <xdr:rowOff>110361</xdr:rowOff>
    </xdr:to>
    <xdr:sp macro="" textlink="">
      <xdr:nvSpPr>
        <xdr:cNvPr id="55" name="Retângulo: Cantos Arredondados 15">
          <a:extLst>
            <a:ext uri="{FF2B5EF4-FFF2-40B4-BE49-F238E27FC236}">
              <a16:creationId xmlns:a16="http://schemas.microsoft.com/office/drawing/2014/main" id="{3C99DFE7-8CDA-4CB6-9321-BF0111A9209B}"/>
            </a:ext>
          </a:extLst>
        </xdr:cNvPr>
        <xdr:cNvSpPr/>
      </xdr:nvSpPr>
      <xdr:spPr>
        <a:xfrm>
          <a:off x="1074420" y="1413408"/>
          <a:ext cx="6225014" cy="16840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558359</xdr:colOff>
      <xdr:row>7</xdr:row>
      <xdr:rowOff>63881</xdr:rowOff>
    </xdr:from>
    <xdr:to>
      <xdr:col>12</xdr:col>
      <xdr:colOff>387717</xdr:colOff>
      <xdr:row>8</xdr:row>
      <xdr:rowOff>86528</xdr:rowOff>
    </xdr:to>
    <xdr:sp macro="" textlink="">
      <xdr:nvSpPr>
        <xdr:cNvPr id="56" name="CaixaDeTexto 42">
          <a:extLst>
            <a:ext uri="{FF2B5EF4-FFF2-40B4-BE49-F238E27FC236}">
              <a16:creationId xmlns:a16="http://schemas.microsoft.com/office/drawing/2014/main" id="{90BFBEFE-A583-4579-90F1-2BE186EAA8F7}"/>
            </a:ext>
          </a:extLst>
        </xdr:cNvPr>
        <xdr:cNvSpPr txBox="1"/>
      </xdr:nvSpPr>
      <xdr:spPr>
        <a:xfrm>
          <a:off x="7263959" y="1351398"/>
          <a:ext cx="438958" cy="2065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b="1"/>
            <a:t>88%</a:t>
          </a:r>
        </a:p>
      </xdr:txBody>
    </xdr:sp>
    <xdr:clientData/>
  </xdr:twoCellAnchor>
  <xdr:twoCellAnchor>
    <xdr:from>
      <xdr:col>11</xdr:col>
      <xdr:colOff>425179</xdr:colOff>
      <xdr:row>7</xdr:row>
      <xdr:rowOff>91181</xdr:rowOff>
    </xdr:from>
    <xdr:to>
      <xdr:col>12</xdr:col>
      <xdr:colOff>10135</xdr:colOff>
      <xdr:row>8</xdr:row>
      <xdr:rowOff>114489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4F87F8B6-E398-4396-AF4C-8121CD9E65E4}"/>
            </a:ext>
          </a:extLst>
        </xdr:cNvPr>
        <xdr:cNvSpPr/>
      </xdr:nvSpPr>
      <xdr:spPr>
        <a:xfrm>
          <a:off x="7130779" y="1378698"/>
          <a:ext cx="194556" cy="207239"/>
        </a:xfrm>
        <a:prstGeom prst="ellipse">
          <a:avLst/>
        </a:prstGeom>
        <a:gradFill rotWithShape="1">
          <a:gsLst>
            <a:gs pos="0">
              <a:srgbClr val="4EA72E">
                <a:satMod val="103000"/>
                <a:lumMod val="102000"/>
                <a:tint val="94000"/>
              </a:srgbClr>
            </a:gs>
            <a:gs pos="50000">
              <a:srgbClr val="4EA72E">
                <a:satMod val="110000"/>
                <a:lumMod val="100000"/>
                <a:shade val="100000"/>
              </a:srgbClr>
            </a:gs>
            <a:gs pos="100000">
              <a:srgbClr val="4EA72E">
                <a:lumMod val="99000"/>
                <a:satMod val="120000"/>
                <a:shade val="78000"/>
              </a:srgbClr>
            </a:gs>
          </a:gsLst>
          <a:lin ang="5400000" scaled="0"/>
        </a:gradFill>
        <a:ln w="12700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Aptos Narrow" panose="02110004020202020204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457200</xdr:colOff>
      <xdr:row>9</xdr:row>
      <xdr:rowOff>22364</xdr:rowOff>
    </xdr:from>
    <xdr:to>
      <xdr:col>7</xdr:col>
      <xdr:colOff>315310</xdr:colOff>
      <xdr:row>10</xdr:row>
      <xdr:rowOff>4</xdr:rowOff>
    </xdr:to>
    <xdr:sp macro="" textlink="">
      <xdr:nvSpPr>
        <xdr:cNvPr id="60" name="Retângulo: Cantos Arredondados 15">
          <a:extLst>
            <a:ext uri="{FF2B5EF4-FFF2-40B4-BE49-F238E27FC236}">
              <a16:creationId xmlns:a16="http://schemas.microsoft.com/office/drawing/2014/main" id="{7AFDD422-28E9-4048-AFA8-34F970D04CD9}"/>
            </a:ext>
          </a:extLst>
        </xdr:cNvPr>
        <xdr:cNvSpPr/>
      </xdr:nvSpPr>
      <xdr:spPr>
        <a:xfrm>
          <a:off x="1066800" y="1677743"/>
          <a:ext cx="3515710" cy="161571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267709</xdr:colOff>
      <xdr:row>8</xdr:row>
      <xdr:rowOff>151905</xdr:rowOff>
    </xdr:from>
    <xdr:to>
      <xdr:col>8</xdr:col>
      <xdr:colOff>527685</xdr:colOff>
      <xdr:row>10</xdr:row>
      <xdr:rowOff>248</xdr:rowOff>
    </xdr:to>
    <xdr:sp macro="" textlink="">
      <xdr:nvSpPr>
        <xdr:cNvPr id="61" name="CaixaDeTexto 42">
          <a:extLst>
            <a:ext uri="{FF2B5EF4-FFF2-40B4-BE49-F238E27FC236}">
              <a16:creationId xmlns:a16="http://schemas.microsoft.com/office/drawing/2014/main" id="{FDDC22CA-A3FC-4713-A1CF-1C3BFB32A17B}"/>
            </a:ext>
          </a:extLst>
        </xdr:cNvPr>
        <xdr:cNvSpPr txBox="1"/>
      </xdr:nvSpPr>
      <xdr:spPr>
        <a:xfrm>
          <a:off x="4534909" y="1623353"/>
          <a:ext cx="869576" cy="2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b="1"/>
            <a:t>58%</a:t>
          </a:r>
        </a:p>
      </xdr:txBody>
    </xdr:sp>
    <xdr:clientData/>
  </xdr:twoCellAnchor>
  <xdr:twoCellAnchor>
    <xdr:from>
      <xdr:col>6</xdr:col>
      <xdr:colOff>265719</xdr:colOff>
      <xdr:row>9</xdr:row>
      <xdr:rowOff>7625</xdr:rowOff>
    </xdr:from>
    <xdr:to>
      <xdr:col>6</xdr:col>
      <xdr:colOff>462403</xdr:colOff>
      <xdr:row>10</xdr:row>
      <xdr:rowOff>31984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DD386C7E-96D9-4E83-8D67-46D677D446D5}"/>
            </a:ext>
          </a:extLst>
        </xdr:cNvPr>
        <xdr:cNvSpPr/>
      </xdr:nvSpPr>
      <xdr:spPr>
        <a:xfrm>
          <a:off x="3923319" y="1663004"/>
          <a:ext cx="196684" cy="208290"/>
        </a:xfrm>
        <a:prstGeom prst="ellipse">
          <a:avLst/>
        </a:prstGeom>
        <a:gradFill>
          <a:gsLst>
            <a:gs pos="0">
              <a:srgbClr val="FFFF00"/>
            </a:gs>
            <a:gs pos="50000">
              <a:srgbClr val="FFFF00"/>
            </a:gs>
            <a:gs pos="100000">
              <a:srgbClr val="FFFF00"/>
            </a:gs>
          </a:gsLst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425970</xdr:colOff>
      <xdr:row>8</xdr:row>
      <xdr:rowOff>153456</xdr:rowOff>
    </xdr:from>
    <xdr:to>
      <xdr:col>7</xdr:col>
      <xdr:colOff>289034</xdr:colOff>
      <xdr:row>10</xdr:row>
      <xdr:rowOff>1799</xdr:rowOff>
    </xdr:to>
    <xdr:sp macro="" textlink="">
      <xdr:nvSpPr>
        <xdr:cNvPr id="63" name="CaixaDeTexto 42">
          <a:extLst>
            <a:ext uri="{FF2B5EF4-FFF2-40B4-BE49-F238E27FC236}">
              <a16:creationId xmlns:a16="http://schemas.microsoft.com/office/drawing/2014/main" id="{47C623A4-AB3D-412E-8843-18479AD3B1DE}"/>
            </a:ext>
          </a:extLst>
        </xdr:cNvPr>
        <xdr:cNvSpPr txBox="1"/>
      </xdr:nvSpPr>
      <xdr:spPr>
        <a:xfrm>
          <a:off x="4083570" y="1624904"/>
          <a:ext cx="472664" cy="2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b="1">
              <a:solidFill>
                <a:schemeClr val="bg1"/>
              </a:solidFill>
            </a:rPr>
            <a:t>50%</a:t>
          </a:r>
        </a:p>
      </xdr:txBody>
    </xdr:sp>
    <xdr:clientData/>
  </xdr:twoCellAnchor>
  <xdr:twoCellAnchor>
    <xdr:from>
      <xdr:col>0</xdr:col>
      <xdr:colOff>0</xdr:colOff>
      <xdr:row>13</xdr:row>
      <xdr:rowOff>67506</xdr:rowOff>
    </xdr:from>
    <xdr:to>
      <xdr:col>12</xdr:col>
      <xdr:colOff>396240</xdr:colOff>
      <xdr:row>14</xdr:row>
      <xdr:rowOff>149219</xdr:rowOff>
    </xdr:to>
    <xdr:grpSp>
      <xdr:nvGrpSpPr>
        <xdr:cNvPr id="7207" name="Agrupar 7206">
          <a:extLst>
            <a:ext uri="{FF2B5EF4-FFF2-40B4-BE49-F238E27FC236}">
              <a16:creationId xmlns:a16="http://schemas.microsoft.com/office/drawing/2014/main" id="{4FA15AC8-32F3-D572-339C-225BB131781B}"/>
            </a:ext>
          </a:extLst>
        </xdr:cNvPr>
        <xdr:cNvGrpSpPr/>
      </xdr:nvGrpSpPr>
      <xdr:grpSpPr>
        <a:xfrm>
          <a:off x="0" y="2420181"/>
          <a:ext cx="7482840" cy="262688"/>
          <a:chOff x="0" y="2815960"/>
          <a:chExt cx="7711440" cy="265644"/>
        </a:xfrm>
      </xdr:grpSpPr>
      <xdr:grpSp>
        <xdr:nvGrpSpPr>
          <xdr:cNvPr id="7206" name="Agrupar 7205">
            <a:extLst>
              <a:ext uri="{FF2B5EF4-FFF2-40B4-BE49-F238E27FC236}">
                <a16:creationId xmlns:a16="http://schemas.microsoft.com/office/drawing/2014/main" id="{D65266EB-D56E-2D59-A6C2-B5A670FDB0AC}"/>
              </a:ext>
            </a:extLst>
          </xdr:cNvPr>
          <xdr:cNvGrpSpPr/>
        </xdr:nvGrpSpPr>
        <xdr:grpSpPr>
          <a:xfrm>
            <a:off x="0" y="2815960"/>
            <a:ext cx="7711440" cy="265644"/>
            <a:chOff x="0" y="2815960"/>
            <a:chExt cx="7711440" cy="265644"/>
          </a:xfrm>
        </xdr:grpSpPr>
        <xdr:grpSp>
          <xdr:nvGrpSpPr>
            <xdr:cNvPr id="34" name="Agrupar 35">
              <a:extLst>
                <a:ext uri="{FF2B5EF4-FFF2-40B4-BE49-F238E27FC236}">
                  <a16:creationId xmlns:a16="http://schemas.microsoft.com/office/drawing/2014/main" id="{7215C5B0-90D4-6F5E-079A-22CA6D3771E9}"/>
                </a:ext>
              </a:extLst>
            </xdr:cNvPr>
            <xdr:cNvGrpSpPr/>
          </xdr:nvGrpSpPr>
          <xdr:grpSpPr>
            <a:xfrm>
              <a:off x="0" y="2815960"/>
              <a:ext cx="7711440" cy="232607"/>
              <a:chOff x="6413351" y="2713618"/>
              <a:chExt cx="7711440" cy="228600"/>
            </a:xfrm>
          </xdr:grpSpPr>
          <xdr:sp macro="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A9240D57-6093-1C8E-8D9F-FD969A5F1F02}"/>
                  </a:ext>
                </a:extLst>
              </xdr:cNvPr>
              <xdr:cNvSpPr/>
            </xdr:nvSpPr>
            <xdr:spPr>
              <a:xfrm>
                <a:off x="7476565" y="2770092"/>
                <a:ext cx="6648226" cy="156885"/>
              </a:xfrm>
              <a:prstGeom prst="roundRect">
                <a:avLst/>
              </a:prstGeom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37" name="CaixaDeTexto 32">
                <a:extLst>
                  <a:ext uri="{FF2B5EF4-FFF2-40B4-BE49-F238E27FC236}">
                    <a16:creationId xmlns:a16="http://schemas.microsoft.com/office/drawing/2014/main" id="{C11B25D2-209D-26B5-228E-C58DAF445FE1}"/>
                  </a:ext>
                </a:extLst>
              </xdr:cNvPr>
              <xdr:cNvSpPr txBox="1"/>
            </xdr:nvSpPr>
            <xdr:spPr>
              <a:xfrm>
                <a:off x="6413351" y="2713618"/>
                <a:ext cx="1125967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pt-BR" sz="1100">
                    <a:solidFill>
                      <a:schemeClr val="tx1"/>
                    </a:solidFill>
                  </a:rPr>
                  <a:t>Produtos</a:t>
                </a:r>
              </a:p>
            </xdr:txBody>
          </xdr:sp>
        </xdr:grpSp>
        <xdr:sp macro="" textlink="">
          <xdr:nvSpPr>
            <xdr:cNvPr id="72" name="Retângulo: Cantos Arredondados 15">
              <a:extLst>
                <a:ext uri="{FF2B5EF4-FFF2-40B4-BE49-F238E27FC236}">
                  <a16:creationId xmlns:a16="http://schemas.microsoft.com/office/drawing/2014/main" id="{34C9419E-FF53-4E6D-8625-1012203D55FF}"/>
                </a:ext>
              </a:extLst>
            </xdr:cNvPr>
            <xdr:cNvSpPr/>
          </xdr:nvSpPr>
          <xdr:spPr>
            <a:xfrm>
              <a:off x="1074420" y="2864888"/>
              <a:ext cx="3345180" cy="183115"/>
            </a:xfrm>
            <a:prstGeom prst="roundRect">
              <a:avLst/>
            </a:prstGeom>
            <a:solidFill>
              <a:schemeClr val="tx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42">
              <a:extLst>
                <a:ext uri="{FF2B5EF4-FFF2-40B4-BE49-F238E27FC236}">
                  <a16:creationId xmlns:a16="http://schemas.microsoft.com/office/drawing/2014/main" id="{300B3ACE-D11A-478D-BEC6-A1A04E828D38}"/>
                </a:ext>
              </a:extLst>
            </xdr:cNvPr>
            <xdr:cNvSpPr txBox="1"/>
          </xdr:nvSpPr>
          <xdr:spPr>
            <a:xfrm>
              <a:off x="4338265" y="2829152"/>
              <a:ext cx="495222" cy="2524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b="1"/>
                <a:t>56%</a:t>
              </a:r>
            </a:p>
          </xdr:txBody>
        </xdr:sp>
        <xdr:sp macro="" textlink="">
          <xdr:nvSpPr>
            <xdr:cNvPr id="75" name="CaixaDeTexto 42">
              <a:extLst>
                <a:ext uri="{FF2B5EF4-FFF2-40B4-BE49-F238E27FC236}">
                  <a16:creationId xmlns:a16="http://schemas.microsoft.com/office/drawing/2014/main" id="{6D1EC7C9-0588-4461-B2C5-D5879CBA2417}"/>
                </a:ext>
              </a:extLst>
            </xdr:cNvPr>
            <xdr:cNvSpPr txBox="1"/>
          </xdr:nvSpPr>
          <xdr:spPr>
            <a:xfrm>
              <a:off x="2342404" y="2817300"/>
              <a:ext cx="487373" cy="2084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b="1">
                  <a:solidFill>
                    <a:schemeClr val="bg1"/>
                  </a:solidFill>
                </a:rPr>
                <a:t>23%</a:t>
              </a:r>
            </a:p>
          </xdr:txBody>
        </xdr:sp>
        <xdr:sp macro="" textlink="">
          <xdr:nvSpPr>
            <xdr:cNvPr id="7193" name="CaixaDeTexto 42">
              <a:extLst>
                <a:ext uri="{FF2B5EF4-FFF2-40B4-BE49-F238E27FC236}">
                  <a16:creationId xmlns:a16="http://schemas.microsoft.com/office/drawing/2014/main" id="{F465F946-A788-40F9-8A13-BFFFBFC3E162}"/>
                </a:ext>
              </a:extLst>
            </xdr:cNvPr>
            <xdr:cNvSpPr txBox="1"/>
          </xdr:nvSpPr>
          <xdr:spPr>
            <a:xfrm>
              <a:off x="1003738" y="2837793"/>
              <a:ext cx="1324303" cy="2364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US" sz="900" b="0" i="1">
                  <a:solidFill>
                    <a:schemeClr val="bg1"/>
                  </a:solidFill>
                </a:rPr>
                <a:t>desvio negativo de 33</a:t>
              </a:r>
              <a:r>
                <a:rPr lang="en-US" sz="900" b="1" i="1">
                  <a:solidFill>
                    <a:schemeClr val="bg1"/>
                  </a:solidFill>
                </a:rPr>
                <a:t>%</a:t>
              </a:r>
            </a:p>
          </xdr:txBody>
        </xdr:sp>
      </xdr:grpSp>
      <xdr:sp macro="" textlink="">
        <xdr:nvSpPr>
          <xdr:cNvPr id="74" name="Elipse 73">
            <a:extLst>
              <a:ext uri="{FF2B5EF4-FFF2-40B4-BE49-F238E27FC236}">
                <a16:creationId xmlns:a16="http://schemas.microsoft.com/office/drawing/2014/main" id="{2D8DA11F-3E22-49DA-98E5-2D27B0370E7F}"/>
              </a:ext>
            </a:extLst>
          </xdr:cNvPr>
          <xdr:cNvSpPr/>
        </xdr:nvSpPr>
        <xdr:spPr>
          <a:xfrm>
            <a:off x="2191018" y="2855399"/>
            <a:ext cx="195145" cy="208290"/>
          </a:xfrm>
          <a:prstGeom prst="ellipse">
            <a:avLst/>
          </a:prstGeom>
          <a:gradFill>
            <a:gsLst>
              <a:gs pos="0">
                <a:srgbClr val="C00000"/>
              </a:gs>
              <a:gs pos="50000">
                <a:srgbClr val="FF0000"/>
              </a:gs>
              <a:gs pos="100000">
                <a:srgbClr val="FF0000"/>
              </a:gs>
            </a:gsLst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5</xdr:col>
      <xdr:colOff>187614</xdr:colOff>
      <xdr:row>0</xdr:row>
      <xdr:rowOff>174836</xdr:rowOff>
    </xdr:from>
    <xdr:to>
      <xdr:col>7</xdr:col>
      <xdr:colOff>55014</xdr:colOff>
      <xdr:row>4</xdr:row>
      <xdr:rowOff>10160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A8A62A3D-8E2B-4B50-8800-790CA803AC08}"/>
            </a:ext>
          </a:extLst>
        </xdr:cNvPr>
        <xdr:cNvGrpSpPr/>
      </xdr:nvGrpSpPr>
      <xdr:grpSpPr>
        <a:xfrm>
          <a:off x="3140364" y="174836"/>
          <a:ext cx="1048500" cy="559224"/>
          <a:chOff x="60614" y="33618"/>
          <a:chExt cx="1308870" cy="738966"/>
        </a:xfrm>
      </xdr:grpSpPr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179E28C-F568-7709-83C9-D689D626E966}"/>
              </a:ext>
            </a:extLst>
          </xdr:cNvPr>
          <xdr:cNvSpPr txBox="1"/>
        </xdr:nvSpPr>
        <xdr:spPr>
          <a:xfrm>
            <a:off x="61034" y="328083"/>
            <a:ext cx="1305484" cy="444501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73% </a:t>
            </a:r>
          </a:p>
        </xdr:txBody>
      </xdr:sp>
      <xdr:sp macro="" textlink="">
        <xdr:nvSpPr>
          <xdr:cNvPr id="7179" name="CaixaDeTexto 7178">
            <a:extLst>
              <a:ext uri="{FF2B5EF4-FFF2-40B4-BE49-F238E27FC236}">
                <a16:creationId xmlns:a16="http://schemas.microsoft.com/office/drawing/2014/main" id="{FF35D059-7727-9790-0579-8938AA0F2FFC}"/>
              </a:ext>
            </a:extLst>
          </xdr:cNvPr>
          <xdr:cNvSpPr txBox="1"/>
        </xdr:nvSpPr>
        <xdr:spPr>
          <a:xfrm>
            <a:off x="60614" y="33618"/>
            <a:ext cx="1308870" cy="357965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PREVISTO</a:t>
            </a:r>
          </a:p>
        </xdr:txBody>
      </xdr:sp>
    </xdr:grpSp>
    <xdr:clientData/>
  </xdr:twoCellAnchor>
  <xdr:twoCellAnchor editAs="absolute">
    <xdr:from>
      <xdr:col>7</xdr:col>
      <xdr:colOff>149184</xdr:colOff>
      <xdr:row>0</xdr:row>
      <xdr:rowOff>173296</xdr:rowOff>
    </xdr:from>
    <xdr:to>
      <xdr:col>9</xdr:col>
      <xdr:colOff>15768</xdr:colOff>
      <xdr:row>4</xdr:row>
      <xdr:rowOff>8620</xdr:rowOff>
    </xdr:to>
    <xdr:grpSp>
      <xdr:nvGrpSpPr>
        <xdr:cNvPr id="7180" name="Agrupar 7179">
          <a:extLst>
            <a:ext uri="{FF2B5EF4-FFF2-40B4-BE49-F238E27FC236}">
              <a16:creationId xmlns:a16="http://schemas.microsoft.com/office/drawing/2014/main" id="{AD8595AD-7DE8-4E4F-A9A5-B671FA3732CA}"/>
            </a:ext>
          </a:extLst>
        </xdr:cNvPr>
        <xdr:cNvGrpSpPr/>
      </xdr:nvGrpSpPr>
      <xdr:grpSpPr>
        <a:xfrm>
          <a:off x="4283034" y="173296"/>
          <a:ext cx="1047684" cy="559224"/>
          <a:chOff x="60614" y="33618"/>
          <a:chExt cx="1309419" cy="738966"/>
        </a:xfrm>
      </xdr:grpSpPr>
      <xdr:sp macro="" textlink="">
        <xdr:nvSpPr>
          <xdr:cNvPr id="7181" name="CaixaDeTexto 7180">
            <a:extLst>
              <a:ext uri="{FF2B5EF4-FFF2-40B4-BE49-F238E27FC236}">
                <a16:creationId xmlns:a16="http://schemas.microsoft.com/office/drawing/2014/main" id="{9DC57BF5-926C-945D-5F70-62526B089578}"/>
              </a:ext>
            </a:extLst>
          </xdr:cNvPr>
          <xdr:cNvSpPr txBox="1"/>
        </xdr:nvSpPr>
        <xdr:spPr>
          <a:xfrm>
            <a:off x="61034" y="328083"/>
            <a:ext cx="1308999" cy="444501"/>
          </a:xfrm>
          <a:prstGeom prst="rect">
            <a:avLst/>
          </a:prstGeom>
          <a:solidFill>
            <a:srgbClr val="C0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t>51%</a:t>
            </a:r>
          </a:p>
        </xdr:txBody>
      </xdr:sp>
      <xdr:sp macro="" textlink="">
        <xdr:nvSpPr>
          <xdr:cNvPr id="7182" name="CaixaDeTexto 7181">
            <a:extLst>
              <a:ext uri="{FF2B5EF4-FFF2-40B4-BE49-F238E27FC236}">
                <a16:creationId xmlns:a16="http://schemas.microsoft.com/office/drawing/2014/main" id="{6CE31B7D-A833-3B77-7D0A-30F85F316B60}"/>
              </a:ext>
            </a:extLst>
          </xdr:cNvPr>
          <xdr:cNvSpPr txBox="1"/>
        </xdr:nvSpPr>
        <xdr:spPr>
          <a:xfrm>
            <a:off x="60614" y="33618"/>
            <a:ext cx="1308870" cy="357965"/>
          </a:xfrm>
          <a:prstGeom prst="rect">
            <a:avLst/>
          </a:prstGeom>
          <a:solidFill>
            <a:srgbClr val="C0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t>REALIZADO</a:t>
            </a:r>
          </a:p>
        </xdr:txBody>
      </xdr:sp>
    </xdr:grpSp>
    <xdr:clientData/>
  </xdr:twoCellAnchor>
  <xdr:twoCellAnchor>
    <xdr:from>
      <xdr:col>0</xdr:col>
      <xdr:colOff>26670</xdr:colOff>
      <xdr:row>1</xdr:row>
      <xdr:rowOff>130809</xdr:rowOff>
    </xdr:from>
    <xdr:to>
      <xdr:col>4</xdr:col>
      <xdr:colOff>225972</xdr:colOff>
      <xdr:row>4</xdr:row>
      <xdr:rowOff>78827</xdr:rowOff>
    </xdr:to>
    <xdr:sp macro="" textlink="">
      <xdr:nvSpPr>
        <xdr:cNvPr id="7183" name="CaixaDeTexto 7182">
          <a:extLst>
            <a:ext uri="{FF2B5EF4-FFF2-40B4-BE49-F238E27FC236}">
              <a16:creationId xmlns:a16="http://schemas.microsoft.com/office/drawing/2014/main" id="{501259AE-4312-4C35-B005-65BB8E0E9E13}"/>
            </a:ext>
          </a:extLst>
        </xdr:cNvPr>
        <xdr:cNvSpPr txBox="1"/>
      </xdr:nvSpPr>
      <xdr:spPr>
        <a:xfrm>
          <a:off x="26670" y="314740"/>
          <a:ext cx="2637702" cy="49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200" b="0" i="1">
              <a:solidFill>
                <a:schemeClr val="accent1">
                  <a:lumMod val="50000"/>
                </a:schemeClr>
              </a:solidFill>
            </a:rPr>
            <a:t>Performance de evolução das entregas do Portfólio de Iniciativas</a:t>
          </a:r>
        </a:p>
      </xdr:txBody>
    </xdr:sp>
    <xdr:clientData/>
  </xdr:twoCellAnchor>
  <xdr:twoCellAnchor>
    <xdr:from>
      <xdr:col>0</xdr:col>
      <xdr:colOff>19050</xdr:colOff>
      <xdr:row>0</xdr:row>
      <xdr:rowOff>6350</xdr:rowOff>
    </xdr:from>
    <xdr:to>
      <xdr:col>4</xdr:col>
      <xdr:colOff>273269</xdr:colOff>
      <xdr:row>2</xdr:row>
      <xdr:rowOff>77470</xdr:rowOff>
    </xdr:to>
    <xdr:sp macro="" textlink="">
      <xdr:nvSpPr>
        <xdr:cNvPr id="7184" name="CaixaDeTexto 7183">
          <a:extLst>
            <a:ext uri="{FF2B5EF4-FFF2-40B4-BE49-F238E27FC236}">
              <a16:creationId xmlns:a16="http://schemas.microsoft.com/office/drawing/2014/main" id="{760076E9-409B-4C81-ACB6-8A6B9BB571E5}"/>
            </a:ext>
          </a:extLst>
        </xdr:cNvPr>
        <xdr:cNvSpPr txBox="1"/>
      </xdr:nvSpPr>
      <xdr:spPr>
        <a:xfrm>
          <a:off x="19050" y="6350"/>
          <a:ext cx="2692619" cy="4389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2000" b="1">
              <a:solidFill>
                <a:schemeClr val="accent1">
                  <a:lumMod val="50000"/>
                </a:schemeClr>
              </a:solidFill>
            </a:rPr>
            <a:t>MONITORAMENTO</a:t>
          </a:r>
        </a:p>
      </xdr:txBody>
    </xdr:sp>
    <xdr:clientData/>
  </xdr:twoCellAnchor>
  <xdr:twoCellAnchor>
    <xdr:from>
      <xdr:col>10</xdr:col>
      <xdr:colOff>250620</xdr:colOff>
      <xdr:row>4</xdr:row>
      <xdr:rowOff>98320</xdr:rowOff>
    </xdr:from>
    <xdr:to>
      <xdr:col>11</xdr:col>
      <xdr:colOff>176344</xdr:colOff>
      <xdr:row>5</xdr:row>
      <xdr:rowOff>137113</xdr:rowOff>
    </xdr:to>
    <xdr:sp macro="" textlink="">
      <xdr:nvSpPr>
        <xdr:cNvPr id="7185" name="CaixaDeTexto 42">
          <a:extLst>
            <a:ext uri="{FF2B5EF4-FFF2-40B4-BE49-F238E27FC236}">
              <a16:creationId xmlns:a16="http://schemas.microsoft.com/office/drawing/2014/main" id="{ADB981A9-3754-43DB-BBFA-84A94083495D}"/>
            </a:ext>
          </a:extLst>
        </xdr:cNvPr>
        <xdr:cNvSpPr txBox="1"/>
      </xdr:nvSpPr>
      <xdr:spPr>
        <a:xfrm>
          <a:off x="6346620" y="834044"/>
          <a:ext cx="535324" cy="222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b="1">
              <a:solidFill>
                <a:schemeClr val="bg1"/>
              </a:solidFill>
            </a:rPr>
            <a:t>81%</a:t>
          </a:r>
        </a:p>
      </xdr:txBody>
    </xdr:sp>
    <xdr:clientData/>
  </xdr:twoCellAnchor>
  <xdr:twoCellAnchor>
    <xdr:from>
      <xdr:col>11</xdr:col>
      <xdr:colOff>20065</xdr:colOff>
      <xdr:row>4</xdr:row>
      <xdr:rowOff>120732</xdr:rowOff>
    </xdr:from>
    <xdr:to>
      <xdr:col>11</xdr:col>
      <xdr:colOff>216591</xdr:colOff>
      <xdr:row>5</xdr:row>
      <xdr:rowOff>146057</xdr:rowOff>
    </xdr:to>
    <xdr:sp macro="" textlink="">
      <xdr:nvSpPr>
        <xdr:cNvPr id="7186" name="Elipse 7185">
          <a:extLst>
            <a:ext uri="{FF2B5EF4-FFF2-40B4-BE49-F238E27FC236}">
              <a16:creationId xmlns:a16="http://schemas.microsoft.com/office/drawing/2014/main" id="{BBAA9046-3573-4AD0-9803-31A8D793C9FA}"/>
            </a:ext>
          </a:extLst>
        </xdr:cNvPr>
        <xdr:cNvSpPr/>
      </xdr:nvSpPr>
      <xdr:spPr>
        <a:xfrm>
          <a:off x="6725665" y="856456"/>
          <a:ext cx="196526" cy="209256"/>
        </a:xfrm>
        <a:prstGeom prst="ellipse">
          <a:avLst/>
        </a:prstGeom>
        <a:gradFill>
          <a:gsLst>
            <a:gs pos="0">
              <a:srgbClr val="FFFF00"/>
            </a:gs>
            <a:gs pos="50000">
              <a:srgbClr val="FFFF00"/>
            </a:gs>
            <a:gs pos="100000">
              <a:srgbClr val="FFFF00"/>
            </a:gs>
          </a:gsLst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429423</xdr:colOff>
      <xdr:row>7</xdr:row>
      <xdr:rowOff>87048</xdr:rowOff>
    </xdr:from>
    <xdr:to>
      <xdr:col>6</xdr:col>
      <xdr:colOff>394138</xdr:colOff>
      <xdr:row>8</xdr:row>
      <xdr:rowOff>119322</xdr:rowOff>
    </xdr:to>
    <xdr:sp macro="" textlink="">
      <xdr:nvSpPr>
        <xdr:cNvPr id="7187" name="CaixaDeTexto 42">
          <a:extLst>
            <a:ext uri="{FF2B5EF4-FFF2-40B4-BE49-F238E27FC236}">
              <a16:creationId xmlns:a16="http://schemas.microsoft.com/office/drawing/2014/main" id="{33C7DB57-377C-45D7-9E3C-D08C360B29C4}"/>
            </a:ext>
          </a:extLst>
        </xdr:cNvPr>
        <xdr:cNvSpPr txBox="1"/>
      </xdr:nvSpPr>
      <xdr:spPr>
        <a:xfrm>
          <a:off x="1039023" y="1374565"/>
          <a:ext cx="3012715" cy="2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0" i="1">
              <a:solidFill>
                <a:schemeClr val="bg1"/>
              </a:solidFill>
            </a:rPr>
            <a:t>Em linha </a:t>
          </a:r>
          <a:r>
            <a:rPr lang="en-US" sz="900" b="0" i="1" baseline="0">
              <a:solidFill>
                <a:schemeClr val="bg1"/>
              </a:solidFill>
            </a:rPr>
            <a:t>com o planejado - 0% de desvio</a:t>
          </a:r>
          <a:endParaRPr lang="en-US" sz="9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450444</xdr:colOff>
      <xdr:row>4</xdr:row>
      <xdr:rowOff>113320</xdr:rowOff>
    </xdr:from>
    <xdr:to>
      <xdr:col>6</xdr:col>
      <xdr:colOff>415159</xdr:colOff>
      <xdr:row>5</xdr:row>
      <xdr:rowOff>145594</xdr:rowOff>
    </xdr:to>
    <xdr:sp macro="" textlink="">
      <xdr:nvSpPr>
        <xdr:cNvPr id="7188" name="CaixaDeTexto 42">
          <a:extLst>
            <a:ext uri="{FF2B5EF4-FFF2-40B4-BE49-F238E27FC236}">
              <a16:creationId xmlns:a16="http://schemas.microsoft.com/office/drawing/2014/main" id="{9703355B-BF98-46FD-B320-3805E021F4C6}"/>
            </a:ext>
          </a:extLst>
        </xdr:cNvPr>
        <xdr:cNvSpPr txBox="1"/>
      </xdr:nvSpPr>
      <xdr:spPr>
        <a:xfrm>
          <a:off x="1060044" y="849044"/>
          <a:ext cx="3012715" cy="2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0" i="1">
              <a:solidFill>
                <a:schemeClr val="bg1"/>
              </a:solidFill>
            </a:rPr>
            <a:t>desvio negativo de </a:t>
          </a:r>
          <a:r>
            <a:rPr lang="en-US" sz="900" b="1" i="1">
              <a:solidFill>
                <a:schemeClr val="bg1"/>
              </a:solidFill>
            </a:rPr>
            <a:t>10%</a:t>
          </a:r>
        </a:p>
      </xdr:txBody>
    </xdr:sp>
    <xdr:clientData/>
  </xdr:twoCellAnchor>
  <xdr:twoCellAnchor>
    <xdr:from>
      <xdr:col>1</xdr:col>
      <xdr:colOff>408402</xdr:colOff>
      <xdr:row>8</xdr:row>
      <xdr:rowOff>150106</xdr:rowOff>
    </xdr:from>
    <xdr:to>
      <xdr:col>3</xdr:col>
      <xdr:colOff>578069</xdr:colOff>
      <xdr:row>9</xdr:row>
      <xdr:rowOff>182380</xdr:rowOff>
    </xdr:to>
    <xdr:sp macro="" textlink="">
      <xdr:nvSpPr>
        <xdr:cNvPr id="7190" name="CaixaDeTexto 42">
          <a:extLst>
            <a:ext uri="{FF2B5EF4-FFF2-40B4-BE49-F238E27FC236}">
              <a16:creationId xmlns:a16="http://schemas.microsoft.com/office/drawing/2014/main" id="{D77A17E8-BD10-4412-B418-6789CD0229CC}"/>
            </a:ext>
          </a:extLst>
        </xdr:cNvPr>
        <xdr:cNvSpPr txBox="1"/>
      </xdr:nvSpPr>
      <xdr:spPr>
        <a:xfrm>
          <a:off x="1018002" y="1621554"/>
          <a:ext cx="1388867" cy="2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0" i="1">
              <a:solidFill>
                <a:schemeClr val="bg1"/>
              </a:solidFill>
            </a:rPr>
            <a:t>desvio negativo de </a:t>
          </a:r>
          <a:r>
            <a:rPr lang="en-US" sz="900" b="1" i="1">
              <a:solidFill>
                <a:schemeClr val="bg1"/>
              </a:solidFill>
            </a:rPr>
            <a:t>8%</a:t>
          </a:r>
        </a:p>
      </xdr:txBody>
    </xdr:sp>
    <xdr:clientData/>
  </xdr:twoCellAnchor>
  <xdr:twoCellAnchor>
    <xdr:from>
      <xdr:col>0</xdr:col>
      <xdr:colOff>0</xdr:colOff>
      <xdr:row>11</xdr:row>
      <xdr:rowOff>141396</xdr:rowOff>
    </xdr:from>
    <xdr:to>
      <xdr:col>12</xdr:col>
      <xdr:colOff>453258</xdr:colOff>
      <xdr:row>13</xdr:row>
      <xdr:rowOff>25987</xdr:rowOff>
    </xdr:to>
    <xdr:grpSp>
      <xdr:nvGrpSpPr>
        <xdr:cNvPr id="7205" name="Agrupar 7204">
          <a:extLst>
            <a:ext uri="{FF2B5EF4-FFF2-40B4-BE49-F238E27FC236}">
              <a16:creationId xmlns:a16="http://schemas.microsoft.com/office/drawing/2014/main" id="{02F63220-24EC-C158-DD08-0FA95FCE704A}"/>
            </a:ext>
          </a:extLst>
        </xdr:cNvPr>
        <xdr:cNvGrpSpPr/>
      </xdr:nvGrpSpPr>
      <xdr:grpSpPr>
        <a:xfrm>
          <a:off x="0" y="2132121"/>
          <a:ext cx="7539858" cy="246541"/>
          <a:chOff x="0" y="2521984"/>
          <a:chExt cx="7768458" cy="252453"/>
        </a:xfrm>
      </xdr:grpSpPr>
      <xdr:grpSp>
        <xdr:nvGrpSpPr>
          <xdr:cNvPr id="29" name="Agrupar 35">
            <a:extLst>
              <a:ext uri="{FF2B5EF4-FFF2-40B4-BE49-F238E27FC236}">
                <a16:creationId xmlns:a16="http://schemas.microsoft.com/office/drawing/2014/main" id="{37E7E476-315F-630E-2C2B-5A9A60425DB1}"/>
              </a:ext>
            </a:extLst>
          </xdr:cNvPr>
          <xdr:cNvGrpSpPr/>
        </xdr:nvGrpSpPr>
        <xdr:grpSpPr>
          <a:xfrm>
            <a:off x="0" y="2526922"/>
            <a:ext cx="7711440" cy="232608"/>
            <a:chOff x="6413351" y="2713618"/>
            <a:chExt cx="7711440" cy="228600"/>
          </a:xfrm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24BB905A-D507-71E9-1689-03D54FB7A055}"/>
                </a:ext>
              </a:extLst>
            </xdr:cNvPr>
            <xdr:cNvSpPr/>
          </xdr:nvSpPr>
          <xdr:spPr>
            <a:xfrm>
              <a:off x="7476565" y="2770092"/>
              <a:ext cx="6648226" cy="156885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2" name="CaixaDeTexto 32">
              <a:extLst>
                <a:ext uri="{FF2B5EF4-FFF2-40B4-BE49-F238E27FC236}">
                  <a16:creationId xmlns:a16="http://schemas.microsoft.com/office/drawing/2014/main" id="{46B5D5D3-B7F7-7C94-62B3-DF41C4EA872E}"/>
                </a:ext>
              </a:extLst>
            </xdr:cNvPr>
            <xdr:cNvSpPr txBox="1"/>
          </xdr:nvSpPr>
          <xdr:spPr>
            <a:xfrm>
              <a:off x="6413351" y="2713618"/>
              <a:ext cx="1125967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r>
                <a:rPr lang="pt-BR" sz="1100">
                  <a:solidFill>
                    <a:schemeClr val="tx1"/>
                  </a:solidFill>
                </a:rPr>
                <a:t>Marketing</a:t>
              </a:r>
            </a:p>
          </xdr:txBody>
        </xdr:sp>
      </xdr:grpSp>
      <xdr:sp macro="" textlink="">
        <xdr:nvSpPr>
          <xdr:cNvPr id="68" name="Retângulo: Cantos Arredondados 15">
            <a:extLst>
              <a:ext uri="{FF2B5EF4-FFF2-40B4-BE49-F238E27FC236}">
                <a16:creationId xmlns:a16="http://schemas.microsoft.com/office/drawing/2014/main" id="{80B38D89-E5DF-4300-8EC7-5EE168C100A0}"/>
              </a:ext>
            </a:extLst>
          </xdr:cNvPr>
          <xdr:cNvSpPr/>
        </xdr:nvSpPr>
        <xdr:spPr>
          <a:xfrm>
            <a:off x="1074419" y="2591616"/>
            <a:ext cx="6319609" cy="177860"/>
          </a:xfrm>
          <a:prstGeom prst="roundRect">
            <a:avLst/>
          </a:prstGeom>
          <a:solidFill>
            <a:schemeClr val="tx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9" name="CaixaDeTexto 42">
            <a:extLst>
              <a:ext uri="{FF2B5EF4-FFF2-40B4-BE49-F238E27FC236}">
                <a16:creationId xmlns:a16="http://schemas.microsoft.com/office/drawing/2014/main" id="{35EDD868-95F7-4B7C-95FB-D5A32F178B95}"/>
              </a:ext>
            </a:extLst>
          </xdr:cNvPr>
          <xdr:cNvSpPr txBox="1"/>
        </xdr:nvSpPr>
        <xdr:spPr>
          <a:xfrm>
            <a:off x="7306824" y="2521984"/>
            <a:ext cx="461634" cy="2524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/>
              <a:t>90%</a:t>
            </a:r>
          </a:p>
        </xdr:txBody>
      </xdr:sp>
      <xdr:sp macro="" textlink="">
        <xdr:nvSpPr>
          <xdr:cNvPr id="71" name="CaixaDeTexto 42">
            <a:extLst>
              <a:ext uri="{FF2B5EF4-FFF2-40B4-BE49-F238E27FC236}">
                <a16:creationId xmlns:a16="http://schemas.microsoft.com/office/drawing/2014/main" id="{97A6C041-5226-4852-A986-72353CC62CB7}"/>
              </a:ext>
            </a:extLst>
          </xdr:cNvPr>
          <xdr:cNvSpPr txBox="1"/>
        </xdr:nvSpPr>
        <xdr:spPr>
          <a:xfrm>
            <a:off x="6657601" y="2528263"/>
            <a:ext cx="479135" cy="238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b="1">
                <a:solidFill>
                  <a:schemeClr val="bg1"/>
                </a:solidFill>
              </a:rPr>
              <a:t>85%</a:t>
            </a:r>
          </a:p>
        </xdr:txBody>
      </xdr:sp>
      <xdr:sp macro="" textlink="">
        <xdr:nvSpPr>
          <xdr:cNvPr id="80" name="Elipse 79">
            <a:extLst>
              <a:ext uri="{FF2B5EF4-FFF2-40B4-BE49-F238E27FC236}">
                <a16:creationId xmlns:a16="http://schemas.microsoft.com/office/drawing/2014/main" id="{6C6551B5-A836-4FAA-99C5-2DAF799847E4}"/>
              </a:ext>
            </a:extLst>
          </xdr:cNvPr>
          <xdr:cNvSpPr/>
        </xdr:nvSpPr>
        <xdr:spPr>
          <a:xfrm>
            <a:off x="7013602" y="2554013"/>
            <a:ext cx="194987" cy="207240"/>
          </a:xfrm>
          <a:prstGeom prst="ellipse">
            <a:avLst/>
          </a:prstGeom>
          <a:gradFill>
            <a:gsLst>
              <a:gs pos="0">
                <a:srgbClr val="FFFF00"/>
              </a:gs>
              <a:gs pos="50000">
                <a:srgbClr val="FFFF00"/>
              </a:gs>
              <a:gs pos="100000">
                <a:srgbClr val="FFFF00"/>
              </a:gs>
            </a:gsLst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92" name="CaixaDeTexto 42">
            <a:extLst>
              <a:ext uri="{FF2B5EF4-FFF2-40B4-BE49-F238E27FC236}">
                <a16:creationId xmlns:a16="http://schemas.microsoft.com/office/drawing/2014/main" id="{10056F3D-3E58-4A99-A120-A2912E347F6A}"/>
              </a:ext>
            </a:extLst>
          </xdr:cNvPr>
          <xdr:cNvSpPr txBox="1"/>
        </xdr:nvSpPr>
        <xdr:spPr>
          <a:xfrm>
            <a:off x="1008993" y="2548757"/>
            <a:ext cx="3012715" cy="2162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900" b="0" i="1">
                <a:solidFill>
                  <a:schemeClr val="bg1"/>
                </a:solidFill>
              </a:rPr>
              <a:t>desvio negativo de </a:t>
            </a:r>
            <a:r>
              <a:rPr lang="en-US" sz="900" b="1" i="1">
                <a:solidFill>
                  <a:schemeClr val="bg1"/>
                </a:solidFill>
              </a:rPr>
              <a:t>5%</a:t>
            </a:r>
          </a:p>
        </xdr:txBody>
      </xdr:sp>
    </xdr:grpSp>
    <xdr:clientData/>
  </xdr:twoCellAnchor>
  <xdr:twoCellAnchor>
    <xdr:from>
      <xdr:col>0</xdr:col>
      <xdr:colOff>0</xdr:colOff>
      <xdr:row>14</xdr:row>
      <xdr:rowOff>165979</xdr:rowOff>
    </xdr:from>
    <xdr:to>
      <xdr:col>12</xdr:col>
      <xdr:colOff>361024</xdr:colOff>
      <xdr:row>16</xdr:row>
      <xdr:rowOff>51117</xdr:rowOff>
    </xdr:to>
    <xdr:grpSp>
      <xdr:nvGrpSpPr>
        <xdr:cNvPr id="7209" name="Agrupar 7208">
          <a:extLst>
            <a:ext uri="{FF2B5EF4-FFF2-40B4-BE49-F238E27FC236}">
              <a16:creationId xmlns:a16="http://schemas.microsoft.com/office/drawing/2014/main" id="{F1868DC8-60AA-F725-46F0-79E2771969D3}"/>
            </a:ext>
          </a:extLst>
        </xdr:cNvPr>
        <xdr:cNvGrpSpPr/>
      </xdr:nvGrpSpPr>
      <xdr:grpSpPr>
        <a:xfrm>
          <a:off x="0" y="2699629"/>
          <a:ext cx="7447624" cy="247088"/>
          <a:chOff x="0" y="3087854"/>
          <a:chExt cx="7676224" cy="253001"/>
        </a:xfrm>
      </xdr:grpSpPr>
      <xdr:grpSp>
        <xdr:nvGrpSpPr>
          <xdr:cNvPr id="7208" name="Agrupar 7207">
            <a:extLst>
              <a:ext uri="{FF2B5EF4-FFF2-40B4-BE49-F238E27FC236}">
                <a16:creationId xmlns:a16="http://schemas.microsoft.com/office/drawing/2014/main" id="{FB016F75-2FC1-2C3F-8EE9-00A609917892}"/>
              </a:ext>
            </a:extLst>
          </xdr:cNvPr>
          <xdr:cNvGrpSpPr/>
        </xdr:nvGrpSpPr>
        <xdr:grpSpPr>
          <a:xfrm>
            <a:off x="0" y="3087854"/>
            <a:ext cx="7676224" cy="253001"/>
            <a:chOff x="0" y="3087854"/>
            <a:chExt cx="7676224" cy="253001"/>
          </a:xfrm>
        </xdr:grpSpPr>
        <xdr:grpSp>
          <xdr:nvGrpSpPr>
            <xdr:cNvPr id="7170" name="Agrupar 7169">
              <a:extLst>
                <a:ext uri="{FF2B5EF4-FFF2-40B4-BE49-F238E27FC236}">
                  <a16:creationId xmlns:a16="http://schemas.microsoft.com/office/drawing/2014/main" id="{A442D74F-C397-82E1-BFCB-C7F784CCFE8F}"/>
                </a:ext>
              </a:extLst>
            </xdr:cNvPr>
            <xdr:cNvGrpSpPr/>
          </xdr:nvGrpSpPr>
          <xdr:grpSpPr>
            <a:xfrm>
              <a:off x="0" y="3087854"/>
              <a:ext cx="7676224" cy="253001"/>
              <a:chOff x="0" y="3260943"/>
              <a:chExt cx="7692967" cy="248875"/>
            </a:xfrm>
          </xdr:grpSpPr>
          <xdr:grpSp>
            <xdr:nvGrpSpPr>
              <xdr:cNvPr id="39" name="Agrupar 35">
                <a:extLst>
                  <a:ext uri="{FF2B5EF4-FFF2-40B4-BE49-F238E27FC236}">
                    <a16:creationId xmlns:a16="http://schemas.microsoft.com/office/drawing/2014/main" id="{FEFF744D-35AB-E588-C1C7-284C59E3B9D2}"/>
                  </a:ext>
                </a:extLst>
              </xdr:cNvPr>
              <xdr:cNvGrpSpPr/>
            </xdr:nvGrpSpPr>
            <xdr:grpSpPr>
              <a:xfrm>
                <a:off x="0" y="3260943"/>
                <a:ext cx="7692967" cy="230447"/>
                <a:chOff x="6413351" y="2713618"/>
                <a:chExt cx="7711440" cy="228600"/>
              </a:xfrm>
            </xdr:grpSpPr>
            <xdr:sp macro="" textlink="">
              <xdr:nvSpPr>
                <xdr:cNvPr id="41" name="Retângulo: Cantos Arredondados 40">
                  <a:extLst>
                    <a:ext uri="{FF2B5EF4-FFF2-40B4-BE49-F238E27FC236}">
                      <a16:creationId xmlns:a16="http://schemas.microsoft.com/office/drawing/2014/main" id="{00FB408B-31B7-00C4-D204-509C7C37577C}"/>
                    </a:ext>
                  </a:extLst>
                </xdr:cNvPr>
                <xdr:cNvSpPr/>
              </xdr:nvSpPr>
              <xdr:spPr>
                <a:xfrm>
                  <a:off x="7476565" y="2770092"/>
                  <a:ext cx="6648226" cy="156885"/>
                </a:xfrm>
                <a:prstGeom prst="roundRect">
                  <a:avLst/>
                </a:prstGeom>
                <a:solidFill>
                  <a:schemeClr val="accent1">
                    <a:lumMod val="40000"/>
                    <a:lumOff val="60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>
                    <a:solidFill>
                      <a:schemeClr val="bg1"/>
                    </a:solidFill>
                  </a:endParaRPr>
                </a:p>
              </xdr:txBody>
            </xdr:sp>
            <xdr:sp macro="" textlink="">
              <xdr:nvSpPr>
                <xdr:cNvPr id="42" name="CaixaDeTexto 32">
                  <a:extLst>
                    <a:ext uri="{FF2B5EF4-FFF2-40B4-BE49-F238E27FC236}">
                      <a16:creationId xmlns:a16="http://schemas.microsoft.com/office/drawing/2014/main" id="{A9EA0925-37C3-E334-E9ED-E9DBF7B8CB0F}"/>
                    </a:ext>
                  </a:extLst>
                </xdr:cNvPr>
                <xdr:cNvSpPr txBox="1"/>
              </xdr:nvSpPr>
              <xdr:spPr>
                <a:xfrm>
                  <a:off x="6413351" y="2713618"/>
                  <a:ext cx="1125967" cy="228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1100">
                      <a:solidFill>
                        <a:schemeClr val="tx1"/>
                      </a:solidFill>
                    </a:rPr>
                    <a:t>Tecnologia</a:t>
                  </a:r>
                </a:p>
              </xdr:txBody>
            </xdr:sp>
          </xdr:grpSp>
          <xdr:sp macro="" textlink="">
            <xdr:nvSpPr>
              <xdr:cNvPr id="76" name="Retângulo: Cantos Arredondados 15">
                <a:extLst>
                  <a:ext uri="{FF2B5EF4-FFF2-40B4-BE49-F238E27FC236}">
                    <a16:creationId xmlns:a16="http://schemas.microsoft.com/office/drawing/2014/main" id="{6C61C00A-478F-4505-9486-D822E7B95B03}"/>
                  </a:ext>
                </a:extLst>
              </xdr:cNvPr>
              <xdr:cNvSpPr/>
            </xdr:nvSpPr>
            <xdr:spPr>
              <a:xfrm>
                <a:off x="1072881" y="3326433"/>
                <a:ext cx="5018283" cy="167513"/>
              </a:xfrm>
              <a:prstGeom prst="roundRect">
                <a:avLst/>
              </a:prstGeom>
              <a:solidFill>
                <a:schemeClr val="tx2">
                  <a:lumMod val="5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77" name="CaixaDeTexto 42">
                <a:extLst>
                  <a:ext uri="{FF2B5EF4-FFF2-40B4-BE49-F238E27FC236}">
                    <a16:creationId xmlns:a16="http://schemas.microsoft.com/office/drawing/2014/main" id="{A670C3F0-0212-49F5-AF8E-340C2E141957}"/>
                  </a:ext>
                </a:extLst>
              </xdr:cNvPr>
              <xdr:cNvSpPr txBox="1"/>
            </xdr:nvSpPr>
            <xdr:spPr>
              <a:xfrm>
                <a:off x="6031367" y="3263625"/>
                <a:ext cx="521239" cy="2461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en-US" b="1">
                    <a:solidFill>
                      <a:schemeClr val="bg1"/>
                    </a:solidFill>
                  </a:rPr>
                  <a:t>74%</a:t>
                </a:r>
              </a:p>
            </xdr:txBody>
          </xdr:sp>
          <xdr:sp macro="" textlink="">
            <xdr:nvSpPr>
              <xdr:cNvPr id="79" name="CaixaDeTexto 42">
                <a:extLst>
                  <a:ext uri="{FF2B5EF4-FFF2-40B4-BE49-F238E27FC236}">
                    <a16:creationId xmlns:a16="http://schemas.microsoft.com/office/drawing/2014/main" id="{92ECB3C7-D147-4F38-B12C-6BAB7234E647}"/>
                  </a:ext>
                </a:extLst>
              </xdr:cNvPr>
              <xdr:cNvSpPr txBox="1"/>
            </xdr:nvSpPr>
            <xdr:spPr>
              <a:xfrm>
                <a:off x="3261283" y="3262284"/>
                <a:ext cx="448656" cy="23983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en-US" b="1">
                    <a:solidFill>
                      <a:schemeClr val="bg1"/>
                    </a:solidFill>
                  </a:rPr>
                  <a:t>42%</a:t>
                </a:r>
              </a:p>
            </xdr:txBody>
          </xdr:sp>
        </xdr:grpSp>
        <xdr:sp macro="" textlink="">
          <xdr:nvSpPr>
            <xdr:cNvPr id="7194" name="Elipse 7193">
              <a:extLst>
                <a:ext uri="{FF2B5EF4-FFF2-40B4-BE49-F238E27FC236}">
                  <a16:creationId xmlns:a16="http://schemas.microsoft.com/office/drawing/2014/main" id="{F016CE2D-E4CA-475A-9825-A901673367E9}"/>
                </a:ext>
              </a:extLst>
            </xdr:cNvPr>
            <xdr:cNvSpPr/>
          </xdr:nvSpPr>
          <xdr:spPr>
            <a:xfrm>
              <a:off x="3146613" y="3130791"/>
              <a:ext cx="195145" cy="209087"/>
            </a:xfrm>
            <a:prstGeom prst="ellipse">
              <a:avLst/>
            </a:prstGeom>
            <a:gradFill>
              <a:gsLst>
                <a:gs pos="0">
                  <a:srgbClr val="C00000"/>
                </a:gs>
                <a:gs pos="50000">
                  <a:srgbClr val="FF0000"/>
                </a:gs>
                <a:gs pos="100000">
                  <a:srgbClr val="FF0000"/>
                </a:gs>
              </a:gsLst>
            </a:gra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7195" name="CaixaDeTexto 42">
            <a:extLst>
              <a:ext uri="{FF2B5EF4-FFF2-40B4-BE49-F238E27FC236}">
                <a16:creationId xmlns:a16="http://schemas.microsoft.com/office/drawing/2014/main" id="{4AB4C512-8C53-492C-AB7B-A758D2A0F445}"/>
              </a:ext>
            </a:extLst>
          </xdr:cNvPr>
          <xdr:cNvSpPr txBox="1"/>
        </xdr:nvSpPr>
        <xdr:spPr>
          <a:xfrm>
            <a:off x="1024759" y="3116315"/>
            <a:ext cx="1702676" cy="2162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900" b="0" i="1">
                <a:solidFill>
                  <a:schemeClr val="bg1"/>
                </a:solidFill>
              </a:rPr>
              <a:t>desvio negativo de 32</a:t>
            </a:r>
            <a:r>
              <a:rPr lang="en-US" sz="900" b="1" i="1">
                <a:solidFill>
                  <a:schemeClr val="bg1"/>
                </a:solidFill>
              </a:rPr>
              <a:t>%</a:t>
            </a:r>
          </a:p>
        </xdr:txBody>
      </xdr:sp>
    </xdr:grpSp>
    <xdr:clientData/>
  </xdr:twoCellAnchor>
  <xdr:twoCellAnchor editAs="oneCell">
    <xdr:from>
      <xdr:col>10</xdr:col>
      <xdr:colOff>14287</xdr:colOff>
      <xdr:row>1</xdr:row>
      <xdr:rowOff>42862</xdr:rowOff>
    </xdr:from>
    <xdr:to>
      <xdr:col>12</xdr:col>
      <xdr:colOff>338138</xdr:colOff>
      <xdr:row>3</xdr:row>
      <xdr:rowOff>76200</xdr:rowOff>
    </xdr:to>
    <xdr:pic macro="[0]!Amplia">
      <xdr:nvPicPr>
        <xdr:cNvPr id="7196" name="Google Shape;784;p49" title="LogoColorHorizontal.png">
          <a:extLst>
            <a:ext uri="{FF2B5EF4-FFF2-40B4-BE49-F238E27FC236}">
              <a16:creationId xmlns:a16="http://schemas.microsoft.com/office/drawing/2014/main" id="{784C00D7-46E6-4F3A-BEA7-A92625FEC72E}"/>
            </a:ext>
          </a:extLst>
        </xdr:cNvPr>
        <xdr:cNvPicPr preferRelativeResize="0"/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6110287" y="223837"/>
          <a:ext cx="1543051" cy="39528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393700</xdr:colOff>
      <xdr:row>0</xdr:row>
      <xdr:rowOff>71967</xdr:rowOff>
    </xdr:from>
    <xdr:to>
      <xdr:col>4</xdr:col>
      <xdr:colOff>16934</xdr:colOff>
      <xdr:row>1</xdr:row>
      <xdr:rowOff>122768</xdr:rowOff>
    </xdr:to>
    <xdr:pic>
      <xdr:nvPicPr>
        <xdr:cNvPr id="7200" name="Gráfico 7199" descr="Início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6B3133-6FE8-461C-A94B-51F48C8FC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2500" y="71967"/>
          <a:ext cx="232834" cy="232834"/>
        </a:xfrm>
        <a:prstGeom prst="rect">
          <a:avLst/>
        </a:prstGeom>
      </xdr:spPr>
    </xdr:pic>
    <xdr:clientData/>
  </xdr:twoCellAnchor>
  <xdr:twoCellAnchor>
    <xdr:from>
      <xdr:col>3</xdr:col>
      <xdr:colOff>334432</xdr:colOff>
      <xdr:row>8</xdr:row>
      <xdr:rowOff>156633</xdr:rowOff>
    </xdr:from>
    <xdr:to>
      <xdr:col>6</xdr:col>
      <xdr:colOff>419099</xdr:colOff>
      <xdr:row>11</xdr:row>
      <xdr:rowOff>131232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A70F7FA-DCC7-E841-52C6-547BB081B0C1}"/>
            </a:ext>
          </a:extLst>
        </xdr:cNvPr>
        <xdr:cNvSpPr txBox="1"/>
      </xdr:nvSpPr>
      <xdr:spPr>
        <a:xfrm rot="19479889">
          <a:off x="2163232" y="1612900"/>
          <a:ext cx="1913467" cy="520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 b="1"/>
            <a:t>DRAFT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Área1" xr10:uid="{390CA121-313A-4BBB-8655-F7CECEB70276}" sourceName="Área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jeto_x_Iniciativa1" xr10:uid="{75662691-2112-4EA9-A6DD-9D916AC97729}" sourceName="Classific.">
  <extLst>
    <x:ext xmlns:x15="http://schemas.microsoft.com/office/spreadsheetml/2010/11/main" uri="{2F2917AC-EB37-4324-AD4E-5DD8C200BD13}">
      <x15:tableSlicerCache tableId="1" column="1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Onde_Estamos1" xr10:uid="{D2C87446-9FEC-4373-BEFC-CD6EEA70F95D}" sourceName="Onde Estamos">
  <extLst>
    <x:ext xmlns:x15="http://schemas.microsoft.com/office/spreadsheetml/2010/11/main" uri="{2F2917AC-EB37-4324-AD4E-5DD8C200BD13}">
      <x15:tableSlicerCache tableId="1" column="3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M1" xr10:uid="{0F5347DC-19E4-406E-A9FF-7B994172D388}" sourceName="QM">
  <extLst>
    <x:ext xmlns:x15="http://schemas.microsoft.com/office/spreadsheetml/2010/11/main" uri="{2F2917AC-EB37-4324-AD4E-5DD8C200BD13}">
      <x15:tableSlicerCache tableId="1" column="51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clo1" xr10:uid="{F47FF4B3-612B-47AD-B407-BD98E4B3293A}" sourceName="Ciclo">
  <extLst>
    <x:ext xmlns:x15="http://schemas.microsoft.com/office/spreadsheetml/2010/11/main" uri="{2F2917AC-EB37-4324-AD4E-5DD8C200BD13}">
      <x15:tableSlicerCache tableId="1" column="5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Área 1" xr10:uid="{B37DB1A6-ADEE-4695-BD67-A84C2FF1F2F5}" cache="SegmentaçãodeDados_Área1" caption="Área" columnCount="5" rowHeight="234950"/>
  <slicer name="Projeto x Iniciativa 1" xr10:uid="{FF27ABD0-0A61-4F0B-A984-006E820C720F}" cache="SegmentaçãodeDados_Projeto_x_Iniciativa1" caption="Classific." columnCount="2" style="SlicerStyleDark1" rowHeight="234950"/>
  <slicer name="Onde Estamos 1" xr10:uid="{85C09939-7AA1-4653-B035-33E4719810F9}" cache="SegmentaçãodeDados_Onde_Estamos1" caption="Onde Estamos" columnCount="4" rowHeight="234950"/>
  <slicer name="QM 1" xr10:uid="{CEE24CE2-03BA-4659-BBDB-B237ADA57220}" cache="SegmentaçãodeDados_QM1" caption="QM" rowHeight="234950"/>
  <slicer name="Ciclo 1" xr10:uid="{AD3FB816-4CE4-4564-A144-990082F98A51}" cache="SegmentaçãodeDados_Ciclo1" caption="Ciclo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B01A78-B4E0-415B-90A6-DFC003B87FF1}" name="TB_Cockpit_2026" displayName="TB_Cockpit_2026" ref="B11:AT79" totalsRowCount="1" headerRowDxfId="94" dataDxfId="93" tableBorderDxfId="92">
  <autoFilter ref="B11:AT78" xr:uid="{D4873069-8F04-4676-B777-1F119911AE12}">
    <filterColumn colId="10">
      <filters>
        <filter val="R$10.000"/>
        <filter val="R$12.000"/>
        <filter val="R$15.000"/>
        <filter val="R$18.000"/>
        <filter val="R$20.000"/>
        <filter val="R$24.000"/>
        <filter val="R$3.000"/>
        <filter val="R$4.000"/>
        <filter val="R$5.000"/>
        <filter val="R$6.000"/>
        <filter val="R$7.000"/>
        <filter val="R$8.000"/>
        <filter val="R$90.000"/>
      </filters>
    </filterColumn>
  </autoFilter>
  <sortState xmlns:xlrd2="http://schemas.microsoft.com/office/spreadsheetml/2017/richdata2" ref="B12:AT78">
    <sortCondition descending="1" ref="I11:I78"/>
    <sortCondition ref="E11:E78"/>
  </sortState>
  <tableColumns count="45">
    <tableColumn id="30" xr3:uid="{E2BE8BFE-7762-4E9D-9258-AE5F531AB8FA}" name="ID" dataDxfId="90" totalsRowDxfId="91"/>
    <tableColumn id="50" xr3:uid="{9B521BE7-EECC-4D55-AF66-A8E3293109FB}" name="u" dataDxfId="88" totalsRowDxfId="89"/>
    <tableColumn id="58" xr3:uid="{4FEF6302-E9AD-4304-B4E6-816C6B308F83}" name="Ciclo" dataDxfId="86" totalsRowDxfId="87"/>
    <tableColumn id="1" xr3:uid="{032BB1DF-D6AE-415D-8674-466C8B0AC683}" name="INICIATIVAS PORTFÓLIO 2026" totalsRowFunction="count" dataDxfId="84" totalsRowDxfId="85"/>
    <tableColumn id="5" xr3:uid="{D1646752-EC20-401B-8C0D-C04EF62BC547}" name="Portfólio" dataDxfId="82" totalsRowDxfId="83"/>
    <tableColumn id="12" xr3:uid="{8636B34F-1B3D-4C41-9B1B-BD9219852621}" name="Classific." dataDxfId="80" totalsRowDxfId="81"/>
    <tableColumn id="34" xr3:uid="{43DCDB13-CBC4-4C90-A3BE-2AB314344B1E}" name="Onde Estamos" dataDxfId="78" totalsRowDxfId="79"/>
    <tableColumn id="10" xr3:uid="{3BE60FFB-5660-4FE4-BDBC-078585AE1654}" name="Área" dataDxfId="76" totalsRowDxfId="77"/>
    <tableColumn id="2" xr3:uid="{49292416-F25F-4074-AC42-DCA245D257DF}" name="Owner" dataDxfId="74" totalsRowDxfId="75"/>
    <tableColumn id="59" xr3:uid="{B01643A8-12BB-4B3A-9F7A-FA460BA5A143}" name="CAPEX" dataDxfId="72" totalsRowDxfId="73"/>
    <tableColumn id="3" xr3:uid="{753DED08-1658-4D97-802B-A2D68A3A30F1}" name="R$ Capex" dataDxfId="70" totalsRowDxfId="71">
      <calculatedColumnFormula>+IF(K12=0,0,IF(K12=1,Apoio!$H$2,IF(K12=2,Apoio!$H$3,IF(K12=3,Apoio!$H$4,IF(K12=4,Apoio!$H$5,0)))))</calculatedColumnFormula>
    </tableColumn>
    <tableColumn id="54" xr3:uid="{90710A10-21F3-438D-991C-7D204D4C2618}" name="OPEX" dataDxfId="68" totalsRowDxfId="69"/>
    <tableColumn id="11" xr3:uid="{EB5B3A16-C5F9-40EC-AD96-A06BF1ADB472}" name="R$ OPEX" dataDxfId="66" totalsRowDxfId="67">
      <calculatedColumnFormula>+IF(M12=0,0,IF(M12=1,Apoio!$L$2,IF(M12=2,Apoio!$L$3,IF(M12=3,Apoio!$L$4,IF(M12=4,Apoio!$L$5,0)))))</calculatedColumnFormula>
    </tableColumn>
    <tableColumn id="13" xr3:uid="{F238173A-B87E-4755-870C-C150BC7C2E35}" name="SPRINT" dataDxfId="64" totalsRowDxfId="65"/>
    <tableColumn id="53" xr3:uid="{517EA70B-F826-46A4-AC61-5783F4A14FF3}" name="Dt. INÍCIO" dataDxfId="62" totalsRowDxfId="63"/>
    <tableColumn id="16" xr3:uid="{482446EE-2971-4DB7-B6E3-003AA5AF97F5}" name="TÉRMINO" dataDxfId="60" totalsRowDxfId="61">
      <calculatedColumnFormula>+IF(OR(TB_Cockpit_2026[[#This Row],[SPRINT]]="",TB_Cockpit_2026[[#This Row],[SPRINT]]=0),"",TB_Cockpit_2026[[#This Row],[Dt. INÍCIO]]+(TB_Cockpit_2026[[#This Row],[SPRINT]]*15))</calculatedColumnFormula>
    </tableColumn>
    <tableColumn id="35" xr3:uid="{1274C7CA-6D0A-4986-8AA0-486DDB33D4E7}" name="%Prev." dataDxfId="58" totalsRowDxfId="59">
      <calculatedColumnFormula>+IF(TB_Cockpit_2026[[#This Row],[Dt. INÍCIO]]&lt;&gt;"",IF(TB_Cockpit_2026[[#This Row],[Dt. INÍCIO]]&gt;TODAY(),0,(TODAY()-TB_Cockpit_2026[[#This Row],[Dt. INÍCIO]])/(TB_Cockpit_2026[[#This Row],[TÉRMINO]]-TB_Cockpit_2026[[#This Row],[Dt. INÍCIO]])),"")</calculatedColumnFormula>
    </tableColumn>
    <tableColumn id="36" xr3:uid="{5563786B-AEF7-4C14-B83A-34970D1A0C75}" name="%Real" dataDxfId="56" totalsRowDxfId="57"/>
    <tableColumn id="37" xr3:uid="{7D74AC5F-1995-4E3F-9E64-7707B19FFB12}" name="Stat" dataDxfId="54" totalsRowDxfId="55">
      <calculatedColumnFormula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calculatedColumnFormula>
    </tableColumn>
    <tableColumn id="18" xr3:uid="{E4AEFDA6-88D8-4182-A4AE-93F7B10C8C58}" name="1_x000a__x000a_ m" dataDxfId="52" totalsRowDxfId="53">
      <calculatedColumnFormula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calculatedColumnFormula>
    </tableColumn>
    <tableColumn id="19" xr3:uid="{E534C2B6-43A7-44F3-A655-4B0A29E58B3C}" name="2_x000a__x000a_ m2" dataDxfId="50" totalsRowDxfId="51">
      <calculatedColumnFormula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calculatedColumnFormula>
    </tableColumn>
    <tableColumn id="21" xr3:uid="{7222C165-048F-4E9C-B3F1-1D7B58F9B034}" name="3_x000a__x000a_ m3" dataDxfId="48" totalsRowDxfId="49">
      <calculatedColumnFormula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calculatedColumnFormula>
    </tableColumn>
    <tableColumn id="22" xr3:uid="{BD6E23E8-C142-4A5A-9445-258BB119F3F6}" name="4_x000a__x000a_ m4" dataDxfId="46" totalsRowDxfId="47">
      <calculatedColumnFormula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calculatedColumnFormula>
    </tableColumn>
    <tableColumn id="24" xr3:uid="{45017F81-6314-4642-9156-FF02B322E141}" name="5_x000a__x000a_ m5" dataDxfId="44" totalsRowDxfId="45">
      <calculatedColumnFormula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calculatedColumnFormula>
    </tableColumn>
    <tableColumn id="25" xr3:uid="{70593DB8-2C33-4210-B996-3C1438F89269}" name="6_x000a__x000a_ m6" dataDxfId="42" totalsRowDxfId="43">
      <calculatedColumnFormula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calculatedColumnFormula>
    </tableColumn>
    <tableColumn id="26" xr3:uid="{94C1879D-D6C9-4618-8801-4ED16BB450BD}" name="7_x000a__x000a_ m7" dataDxfId="40" totalsRowDxfId="41">
      <calculatedColumnFormula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calculatedColumnFormula>
    </tableColumn>
    <tableColumn id="27" xr3:uid="{56C34FD4-3743-4B51-A066-CB76347CDB72}" name="8_x000a__x000a_ m" dataDxfId="38" totalsRowDxfId="39">
      <calculatedColumnFormula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calculatedColumnFormula>
    </tableColumn>
    <tableColumn id="28" xr3:uid="{A08BCE77-B23D-4D19-83BE-705660E60780}" name="9_x000a__x000a_ m" dataDxfId="36" totalsRowDxfId="37">
      <calculatedColumnFormula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calculatedColumnFormula>
    </tableColumn>
    <tableColumn id="29" xr3:uid="{3A5307A1-349B-4402-9684-8CC40249BF6F}" name="10_x000a__x000a_ m" dataDxfId="34" totalsRowDxfId="35">
      <calculatedColumnFormula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calculatedColumnFormula>
    </tableColumn>
    <tableColumn id="31" xr3:uid="{AB03CEFC-7331-416E-AE76-3F392DFC640E}" name="11_x000a__x000a_ m" dataDxfId="32" totalsRowDxfId="33">
      <calculatedColumnFormula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calculatedColumnFormula>
    </tableColumn>
    <tableColumn id="32" xr3:uid="{E7FF9B27-3FB8-4C69-9B6B-1D54C08E76ED}" name="12_x000a__x000a_ m" dataDxfId="30" totalsRowDxfId="31">
      <calculatedColumnFormula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calculatedColumnFormula>
    </tableColumn>
    <tableColumn id="23" xr3:uid="{B21D1E19-B0E6-474B-BBE6-BEAE2A9ED568}" name="Risco" dataDxfId="28" totalsRowDxfId="29"/>
    <tableColumn id="4" xr3:uid="{4A8D4C19-198D-4838-B9CA-02D96CDA6E1F}" name="Encantar os Clientes" dataDxfId="26" totalsRowDxfId="27"/>
    <tableColumn id="48" xr3:uid="{8CCBCC37-A20B-4D65-AD22-2E879A6ADC96}" name="Alta Rentabilidade" dataDxfId="24" totalsRowDxfId="25"/>
    <tableColumn id="6" xr3:uid="{E638A553-E9A7-411A-901A-8941710C5F77}" name="Capital com Foco" dataDxfId="22" totalsRowDxfId="23"/>
    <tableColumn id="14" xr3:uid="{A66B3850-655C-43F5-996C-4EAF98325804}" name="SCORE" dataDxfId="20" totalsRowDxfId="21">
      <calculatedColumnFormula>+(TB_Cockpit_2026[[#This Row],[Encantar os Clientes]]*$AH$10)+(TB_Cockpit_2026[[#This Row],[Capital com Foco]]*$AJ$10)+(TB_Cockpit_2026[[#This Row],[Alta Rentabilidade]]*$AI$10)+IF(TB_Cockpit_2026[[#This Row],[u]]="u",4,0)</calculatedColumnFormula>
    </tableColumn>
    <tableColumn id="17" xr3:uid="{4C8F4C30-62DA-40DF-8666-EF50A31004AD}" name="K1" dataDxfId="18" totalsRowDxfId="19"/>
    <tableColumn id="20" xr3:uid="{F12697F7-950D-47DA-952D-8B35BED5E126}" name="K2" dataDxfId="16" totalsRowDxfId="17"/>
    <tableColumn id="33" xr3:uid="{4C35790A-41DC-402D-9C65-F9DD27F3EEE9}" name="K3" dataDxfId="14" totalsRowDxfId="15"/>
    <tableColumn id="8" xr3:uid="{A478342E-8F64-4F66-95EB-AE49B9CC71A9}" name="K4" dataDxfId="12" totalsRowDxfId="13"/>
    <tableColumn id="38" xr3:uid="{E452936C-F749-4C2E-A78B-1BCAD42A0930}" name="K5" dataDxfId="10" totalsRowDxfId="11"/>
    <tableColumn id="47" xr3:uid="{EC44A8B9-8B00-457C-8E8E-373A4C03BB4D}" name="Relev." dataDxfId="9">
      <calculatedColumnFormula>SUM(TB_Cockpit_2026[[#This Row],[K1]:[K5]])</calculatedColumnFormula>
    </tableColumn>
    <tableColumn id="9" xr3:uid="{8787E8CE-2A15-478F-A468-DA803680524B}" name="Score Geral" dataDxfId="8">
      <calculatedColumnFormula>+TB_Cockpit_2026[[#This Row],[Relev.]]+TB_Cockpit_2026[[#This Row],[SCORE]]</calculatedColumnFormula>
    </tableColumn>
    <tableColumn id="51" xr3:uid="{1EBE4C81-3235-493B-8E71-1EA2DFC04A11}" name="QM" dataDxfId="7">
      <calculatedColumnFormula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calculatedColumnFormula>
    </tableColumn>
    <tableColumn id="7" xr3:uid="{F8F8D7A4-871A-42B0-9464-9305311895A3}" name="Detalhe do Risco" dataDxfId="5" totalsRow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B9C0-E5AD-45DB-B5A7-EAFB169D1F26}">
  <sheetPr codeName="Planilha2"/>
  <dimension ref="A1"/>
  <sheetViews>
    <sheetView showGridLines="0" showRowColHeaders="0" zoomScale="125" zoomScaleNormal="125" workbookViewId="0">
      <selection activeCell="S76" sqref="S76"/>
    </sheetView>
  </sheetViews>
  <sheetFormatPr defaultColWidth="8.85546875" defaultRowHeight="14.45"/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headerFooter>
    <oddFooter>&amp;L_x000D_&amp;1#&amp;"Calibri"&amp;10&amp;K000000 Classificação: Público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4F58-3D28-4D8B-8E99-16E3FE0E8CCB}">
  <sheetPr codeName="Planilha96">
    <tabColor rgb="FF0070C0"/>
  </sheetPr>
  <dimension ref="A1:AT80"/>
  <sheetViews>
    <sheetView showGridLines="0" showRowColHeaders="0" tabSelected="1" zoomScale="85" zoomScaleNormal="85" workbookViewId="0">
      <pane xSplit="5" ySplit="11" topLeftCell="H12" activePane="bottomRight" state="frozen"/>
      <selection pane="bottomRight" activeCell="H15" sqref="H15"/>
      <selection pane="bottomLeft" activeCell="A12" sqref="A12"/>
      <selection pane="topRight" activeCell="F1" sqref="F1"/>
    </sheetView>
  </sheetViews>
  <sheetFormatPr defaultColWidth="31.28515625" defaultRowHeight="14.45"/>
  <cols>
    <col min="1" max="1" width="39" customWidth="1"/>
    <col min="2" max="2" width="8.85546875" bestFit="1" customWidth="1"/>
    <col min="3" max="3" width="4.7109375" customWidth="1"/>
    <col min="4" max="4" width="6.5703125" bestFit="1" customWidth="1"/>
    <col min="5" max="5" width="94.42578125" style="5" customWidth="1"/>
    <col min="6" max="6" width="12.140625" customWidth="1"/>
    <col min="7" max="7" width="11.28515625" customWidth="1"/>
    <col min="8" max="8" width="10.85546875" customWidth="1"/>
    <col min="9" max="9" width="17.85546875" bestFit="1" customWidth="1"/>
    <col min="10" max="10" width="10.5703125" bestFit="1" customWidth="1"/>
    <col min="11" max="11" width="6.140625" customWidth="1"/>
    <col min="12" max="12" width="11.5703125" bestFit="1" customWidth="1"/>
    <col min="13" max="13" width="5.42578125" customWidth="1"/>
    <col min="14" max="14" width="14.7109375" bestFit="1" customWidth="1"/>
    <col min="15" max="15" width="7" customWidth="1"/>
    <col min="16" max="16" width="10.28515625" customWidth="1"/>
    <col min="17" max="17" width="10.85546875" customWidth="1"/>
    <col min="18" max="18" width="7.5703125" customWidth="1"/>
    <col min="19" max="19" width="8.28515625" customWidth="1"/>
    <col min="20" max="31" width="3" customWidth="1"/>
    <col min="32" max="32" width="3.28515625" customWidth="1"/>
    <col min="33" max="35" width="6.42578125" customWidth="1"/>
    <col min="36" max="36" width="3.7109375" customWidth="1"/>
    <col min="37" max="37" width="4.5703125" customWidth="1"/>
    <col min="38" max="41" width="3.28515625" customWidth="1"/>
    <col min="42" max="42" width="3.42578125" customWidth="1"/>
    <col min="43" max="43" width="5.140625" customWidth="1"/>
    <col min="44" max="44" width="3.85546875" customWidth="1"/>
    <col min="45" max="45" width="6.140625" customWidth="1"/>
  </cols>
  <sheetData>
    <row r="1" spans="1:46" ht="14.45" customHeight="1">
      <c r="H1" s="2">
        <f>COUNTIF(TB_Cockpit_2026[Portfólio],I1)</f>
        <v>46</v>
      </c>
      <c r="I1" s="2" t="s">
        <v>0</v>
      </c>
      <c r="Y1" s="1">
        <f>+SUBTOTAL(3,TB_Cockpit_2026[[#Headers],[#Data],[INICIATIVAS PORTFÓLIO 2026]])</f>
        <v>32</v>
      </c>
      <c r="AA1" s="1"/>
      <c r="AB1" s="1"/>
      <c r="AC1" s="1"/>
      <c r="AD1" s="1"/>
      <c r="AE1" s="3">
        <f>COUNTIF(TB_Cockpit_2026[Owner],#REF!)</f>
        <v>0</v>
      </c>
      <c r="AF1" s="3"/>
      <c r="AG1" s="2"/>
      <c r="AH1" s="2"/>
      <c r="AI1" s="2"/>
      <c r="AJ1" s="2"/>
      <c r="AL1" s="201" t="s">
        <v>1</v>
      </c>
      <c r="AM1" s="202"/>
      <c r="AN1" s="202"/>
      <c r="AO1" s="202"/>
      <c r="AP1" s="202"/>
      <c r="AQ1" s="202"/>
      <c r="AR1" s="202"/>
      <c r="AS1" s="203"/>
    </row>
    <row r="2" spans="1:46" ht="14.85" customHeight="1">
      <c r="H2" s="2">
        <f>COUNTIF(TB_Cockpit_2026[Portfólio],I2)</f>
        <v>21</v>
      </c>
      <c r="I2" s="2" t="s">
        <v>2</v>
      </c>
      <c r="X2" s="2">
        <f>TB_Cockpit_2026[[#Totals],[INICIATIVAS PORTFÓLIO 2026]]</f>
        <v>31</v>
      </c>
      <c r="AD2" s="11">
        <f>COUNTIF(TB_Cockpit_2026[Owner],#REF!)</f>
        <v>0</v>
      </c>
      <c r="AL2" s="204"/>
      <c r="AM2" s="205"/>
      <c r="AN2" s="205"/>
      <c r="AO2" s="205"/>
      <c r="AP2" s="205"/>
      <c r="AQ2" s="205"/>
      <c r="AR2" s="205"/>
      <c r="AS2" s="206"/>
    </row>
    <row r="3" spans="1:46" ht="14.85" customHeight="1">
      <c r="H3" s="2"/>
      <c r="I3" s="2"/>
      <c r="X3" s="12">
        <f>COUNTA(TB_Cockpit_2026[[#Headers],[#Data],[ID]])-1</f>
        <v>64</v>
      </c>
      <c r="AL3" s="207" t="s">
        <v>3</v>
      </c>
      <c r="AM3" s="208"/>
      <c r="AN3" s="209" t="s">
        <v>4</v>
      </c>
      <c r="AO3" s="209"/>
      <c r="AP3" s="209"/>
      <c r="AQ3" s="209"/>
      <c r="AR3" s="209"/>
      <c r="AS3" s="209"/>
      <c r="AT3" s="210"/>
    </row>
    <row r="4" spans="1:46" ht="14.85" customHeight="1">
      <c r="O4" s="42"/>
      <c r="P4" s="42"/>
      <c r="AL4" s="189" t="s">
        <v>5</v>
      </c>
      <c r="AM4" s="190"/>
      <c r="AN4" s="197" t="s">
        <v>6</v>
      </c>
      <c r="AO4" s="197"/>
      <c r="AP4" s="197"/>
      <c r="AQ4" s="197"/>
      <c r="AR4" s="197"/>
      <c r="AS4" s="197"/>
      <c r="AT4" s="198"/>
    </row>
    <row r="5" spans="1:46" ht="14.85" customHeight="1">
      <c r="O5" s="2">
        <f>COUNTA(TB_Cockpit_2026[[#Headers],[#Data],[ID]])</f>
        <v>65</v>
      </c>
      <c r="AI5" s="2"/>
      <c r="AJ5" s="2"/>
      <c r="AL5" s="189" t="s">
        <v>7</v>
      </c>
      <c r="AM5" s="190"/>
      <c r="AN5" s="197" t="s">
        <v>8</v>
      </c>
      <c r="AO5" s="197"/>
      <c r="AP5" s="197"/>
      <c r="AQ5" s="197"/>
      <c r="AR5" s="197"/>
      <c r="AS5" s="197"/>
      <c r="AT5" s="198"/>
    </row>
    <row r="6" spans="1:46" ht="14.85" customHeight="1">
      <c r="O6" s="5"/>
      <c r="AL6" s="189" t="s">
        <v>9</v>
      </c>
      <c r="AM6" s="190"/>
      <c r="AN6" s="197" t="s">
        <v>10</v>
      </c>
      <c r="AO6" s="197"/>
      <c r="AP6" s="197"/>
      <c r="AQ6" s="197"/>
      <c r="AR6" s="197"/>
      <c r="AS6" s="197"/>
      <c r="AT6" s="198"/>
    </row>
    <row r="7" spans="1:46" ht="14.85" customHeight="1">
      <c r="M7" s="28"/>
      <c r="N7" s="28"/>
      <c r="AL7" s="191" t="s">
        <v>11</v>
      </c>
      <c r="AM7" s="192"/>
      <c r="AN7" s="199" t="s">
        <v>12</v>
      </c>
      <c r="AO7" s="199"/>
      <c r="AP7" s="199"/>
      <c r="AQ7" s="199"/>
      <c r="AR7" s="199"/>
      <c r="AS7" s="199"/>
      <c r="AT7" s="200"/>
    </row>
    <row r="8" spans="1:46">
      <c r="M8" s="28"/>
      <c r="N8" s="28"/>
      <c r="AH8" s="193" t="s">
        <v>13</v>
      </c>
      <c r="AI8" s="194"/>
      <c r="AJ8" s="194"/>
    </row>
    <row r="9" spans="1:46" ht="15" thickBot="1">
      <c r="AH9" s="195" t="s">
        <v>14</v>
      </c>
      <c r="AI9" s="196"/>
      <c r="AJ9" s="196"/>
    </row>
    <row r="10" spans="1:46" ht="14.85" customHeight="1" thickBot="1">
      <c r="K10" s="188">
        <f>+SUBTOTAL(9,TB_Cockpit_2026[R$ Capex])</f>
        <v>410000</v>
      </c>
      <c r="L10" s="188"/>
      <c r="M10" s="188">
        <f>+SUBTOTAL(9,TB_Cockpit_2026[R$ OPEX])</f>
        <v>439000</v>
      </c>
      <c r="N10" s="188"/>
      <c r="U10" s="182">
        <v>2026</v>
      </c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4"/>
      <c r="AH10" s="13">
        <v>2</v>
      </c>
      <c r="AI10" s="32">
        <v>1</v>
      </c>
      <c r="AJ10" s="13">
        <v>1</v>
      </c>
      <c r="AL10" s="185" t="s">
        <v>15</v>
      </c>
      <c r="AM10" s="186"/>
      <c r="AN10" s="186"/>
      <c r="AO10" s="186"/>
      <c r="AP10" s="187"/>
      <c r="AQ10" s="14" t="s">
        <v>16</v>
      </c>
    </row>
    <row r="11" spans="1:46" ht="39" customHeight="1">
      <c r="B11" s="157" t="s">
        <v>17</v>
      </c>
      <c r="C11" s="158" t="s">
        <v>18</v>
      </c>
      <c r="D11" s="159" t="s">
        <v>19</v>
      </c>
      <c r="E11" s="159" t="s">
        <v>20</v>
      </c>
      <c r="F11" s="159" t="s">
        <v>21</v>
      </c>
      <c r="G11" s="160" t="s">
        <v>22</v>
      </c>
      <c r="H11" s="161" t="s">
        <v>23</v>
      </c>
      <c r="I11" s="162" t="s">
        <v>24</v>
      </c>
      <c r="J11" s="162" t="s">
        <v>25</v>
      </c>
      <c r="K11" s="162" t="s">
        <v>26</v>
      </c>
      <c r="L11" s="162" t="s">
        <v>27</v>
      </c>
      <c r="M11" s="162" t="s">
        <v>28</v>
      </c>
      <c r="N11" s="162" t="s">
        <v>29</v>
      </c>
      <c r="O11" s="163" t="s">
        <v>30</v>
      </c>
      <c r="P11" s="164" t="s">
        <v>31</v>
      </c>
      <c r="Q11" s="135" t="s">
        <v>32</v>
      </c>
      <c r="R11" s="135" t="s">
        <v>33</v>
      </c>
      <c r="S11" s="135" t="s">
        <v>34</v>
      </c>
      <c r="T11" s="135" t="s">
        <v>35</v>
      </c>
      <c r="U11" s="137" t="s">
        <v>36</v>
      </c>
      <c r="V11" s="137" t="s">
        <v>37</v>
      </c>
      <c r="W11" s="137" t="s">
        <v>38</v>
      </c>
      <c r="X11" s="137" t="s">
        <v>39</v>
      </c>
      <c r="Y11" s="137" t="s">
        <v>40</v>
      </c>
      <c r="Z11" s="137" t="s">
        <v>41</v>
      </c>
      <c r="AA11" s="137" t="s">
        <v>42</v>
      </c>
      <c r="AB11" s="137" t="s">
        <v>43</v>
      </c>
      <c r="AC11" s="137" t="s">
        <v>44</v>
      </c>
      <c r="AD11" s="137" t="s">
        <v>45</v>
      </c>
      <c r="AE11" s="137" t="s">
        <v>46</v>
      </c>
      <c r="AF11" s="138" t="s">
        <v>47</v>
      </c>
      <c r="AG11" s="136" t="s">
        <v>48</v>
      </c>
      <c r="AH11" s="33" t="s">
        <v>49</v>
      </c>
      <c r="AI11" s="8" t="s">
        <v>50</v>
      </c>
      <c r="AJ11" s="8" t="s">
        <v>51</v>
      </c>
      <c r="AK11" s="34" t="s">
        <v>52</v>
      </c>
      <c r="AL11" s="15" t="s">
        <v>53</v>
      </c>
      <c r="AM11" s="10" t="s">
        <v>54</v>
      </c>
      <c r="AN11" s="10" t="s">
        <v>55</v>
      </c>
      <c r="AO11" s="10" t="s">
        <v>56</v>
      </c>
      <c r="AP11" s="10" t="s">
        <v>57</v>
      </c>
      <c r="AQ11" s="9" t="s">
        <v>58</v>
      </c>
      <c r="AR11" s="10" t="s">
        <v>59</v>
      </c>
      <c r="AS11" s="10" t="s">
        <v>60</v>
      </c>
      <c r="AT11" s="38" t="s">
        <v>61</v>
      </c>
    </row>
    <row r="12" spans="1:46" s="22" customFormat="1" ht="17.45" hidden="1">
      <c r="B12" s="139" t="s">
        <v>62</v>
      </c>
      <c r="C12" s="140"/>
      <c r="D12" s="141">
        <v>1</v>
      </c>
      <c r="E12" s="142" t="s">
        <v>63</v>
      </c>
      <c r="F12" s="142" t="s">
        <v>0</v>
      </c>
      <c r="G12" s="143" t="s">
        <v>64</v>
      </c>
      <c r="H12" s="142" t="s">
        <v>65</v>
      </c>
      <c r="I12" s="144" t="s">
        <v>66</v>
      </c>
      <c r="J12" s="144" t="s">
        <v>67</v>
      </c>
      <c r="K12" s="35">
        <v>0</v>
      </c>
      <c r="L12" s="145">
        <f>+IF(K12=0,0,IF(K12=1,Apoio!$H$2,IF(K12=2,Apoio!$H$3,IF(K12=3,Apoio!$H$4,IF(K12=4,Apoio!$H$5,0)))))</f>
        <v>0</v>
      </c>
      <c r="M12" s="35">
        <v>1</v>
      </c>
      <c r="N12" s="145">
        <v>3000</v>
      </c>
      <c r="O12" s="146">
        <v>6</v>
      </c>
      <c r="P12" s="147">
        <v>45996</v>
      </c>
      <c r="Q12" s="148">
        <f>+IF(OR(TB_Cockpit_2026[[#This Row],[SPRINT]]="",TB_Cockpit_2026[[#This Row],[SPRINT]]=0),"",TB_Cockpit_2026[[#This Row],[Dt. INÍCIO]]+(TB_Cockpit_2026[[#This Row],[SPRINT]]*15))</f>
        <v>46086</v>
      </c>
      <c r="R1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2" s="150">
        <v>0.5</v>
      </c>
      <c r="T1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1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1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1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1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2" s="43">
        <v>2</v>
      </c>
      <c r="AH12" s="17">
        <v>1</v>
      </c>
      <c r="AI12" s="17">
        <v>3</v>
      </c>
      <c r="AJ12" s="17">
        <v>3</v>
      </c>
      <c r="AK12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12" s="19">
        <v>1</v>
      </c>
      <c r="AM12" s="20">
        <v>3</v>
      </c>
      <c r="AN12" s="20">
        <v>1</v>
      </c>
      <c r="AO12" s="20">
        <v>4</v>
      </c>
      <c r="AP12" s="20">
        <v>1</v>
      </c>
      <c r="AQ12" s="21">
        <f>SUM(TB_Cockpit_2026[[#This Row],[K1]:[K5]])</f>
        <v>10</v>
      </c>
      <c r="AR12" s="27">
        <f>+TB_Cockpit_2026[[#This Row],[Relev.]]+TB_Cockpit_2026[[#This Row],[SCORE]]</f>
        <v>18</v>
      </c>
      <c r="AS1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12" s="39"/>
    </row>
    <row r="13" spans="1:46" s="22" customFormat="1" ht="17.45">
      <c r="A13" s="22">
        <v>0</v>
      </c>
      <c r="B13" s="139" t="s">
        <v>68</v>
      </c>
      <c r="C13" s="140"/>
      <c r="D13" s="141">
        <v>1</v>
      </c>
      <c r="E13" s="142" t="s">
        <v>69</v>
      </c>
      <c r="F13" s="142" t="s">
        <v>2</v>
      </c>
      <c r="G13" s="143" t="s">
        <v>64</v>
      </c>
      <c r="H13" s="142" t="s">
        <v>70</v>
      </c>
      <c r="I13" s="144" t="s">
        <v>66</v>
      </c>
      <c r="J13" s="144" t="s">
        <v>67</v>
      </c>
      <c r="K13" s="35">
        <v>0</v>
      </c>
      <c r="L13" s="145">
        <v>5000</v>
      </c>
      <c r="M13" s="35">
        <v>0</v>
      </c>
      <c r="N13" s="145">
        <v>5000</v>
      </c>
      <c r="O13" s="146">
        <v>6</v>
      </c>
      <c r="P13" s="147">
        <v>46024</v>
      </c>
      <c r="Q13" s="148">
        <f>+IF(OR(TB_Cockpit_2026[[#This Row],[SPRINT]]="",TB_Cockpit_2026[[#This Row],[SPRINT]]=0),"",TB_Cockpit_2026[[#This Row],[Dt. INÍCIO]]+(TB_Cockpit_2026[[#This Row],[SPRINT]]*15))</f>
        <v>46114</v>
      </c>
      <c r="R1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3" s="150">
        <v>0.2</v>
      </c>
      <c r="T1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1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1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1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1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3" s="43">
        <v>2</v>
      </c>
      <c r="AH13" s="17">
        <v>2</v>
      </c>
      <c r="AI13" s="17">
        <v>2</v>
      </c>
      <c r="AJ13" s="17">
        <v>1</v>
      </c>
      <c r="AK13" s="18">
        <f>+(TB_Cockpit_2026[[#This Row],[Encantar os Clientes]]*$AH$10)+(TB_Cockpit_2026[[#This Row],[Capital com Foco]]*$AJ$10)+(TB_Cockpit_2026[[#This Row],[Alta Rentabilidade]]*$AI$10)+IF(TB_Cockpit_2026[[#This Row],[u]]="u",4,0)</f>
        <v>7</v>
      </c>
      <c r="AL13" s="19">
        <v>1</v>
      </c>
      <c r="AM13" s="20">
        <v>2</v>
      </c>
      <c r="AN13" s="20">
        <v>1</v>
      </c>
      <c r="AO13" s="20">
        <v>4</v>
      </c>
      <c r="AP13" s="20">
        <v>1</v>
      </c>
      <c r="AQ13" s="21">
        <f>SUM(TB_Cockpit_2026[[#This Row],[K1]:[K5]])</f>
        <v>9</v>
      </c>
      <c r="AR13" s="27">
        <f>+TB_Cockpit_2026[[#This Row],[Relev.]]+TB_Cockpit_2026[[#This Row],[SCORE]]</f>
        <v>16</v>
      </c>
      <c r="AS1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13" s="39"/>
    </row>
    <row r="14" spans="1:46" ht="17.45">
      <c r="B14" s="139" t="s">
        <v>71</v>
      </c>
      <c r="C14" s="140" t="s">
        <v>18</v>
      </c>
      <c r="D14" s="141">
        <v>1</v>
      </c>
      <c r="E14" s="142" t="s">
        <v>72</v>
      </c>
      <c r="F14" s="142" t="s">
        <v>0</v>
      </c>
      <c r="G14" s="143" t="s">
        <v>64</v>
      </c>
      <c r="H14" s="142" t="s">
        <v>65</v>
      </c>
      <c r="I14" s="144" t="s">
        <v>66</v>
      </c>
      <c r="J14" s="144" t="s">
        <v>67</v>
      </c>
      <c r="K14" s="35">
        <v>0</v>
      </c>
      <c r="L14" s="145">
        <v>4000</v>
      </c>
      <c r="M14" s="35">
        <v>0</v>
      </c>
      <c r="N14" s="145">
        <v>5000</v>
      </c>
      <c r="O14" s="146">
        <v>3</v>
      </c>
      <c r="P14" s="147">
        <v>46027</v>
      </c>
      <c r="Q14" s="148">
        <f>+IF(OR(TB_Cockpit_2026[[#This Row],[SPRINT]]="",TB_Cockpit_2026[[#This Row],[SPRINT]]=0),"",TB_Cockpit_2026[[#This Row],[Dt. INÍCIO]]+(TB_Cockpit_2026[[#This Row],[SPRINT]]*15))</f>
        <v>46072</v>
      </c>
      <c r="R1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4" s="150">
        <v>0.8</v>
      </c>
      <c r="T1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1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1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1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1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4" s="43">
        <v>3</v>
      </c>
      <c r="AH14" s="17">
        <v>2</v>
      </c>
      <c r="AI14" s="17">
        <v>4</v>
      </c>
      <c r="AJ14" s="17">
        <v>2</v>
      </c>
      <c r="AK14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14" s="19">
        <v>3</v>
      </c>
      <c r="AM14" s="20">
        <v>2</v>
      </c>
      <c r="AN14" s="20">
        <v>3</v>
      </c>
      <c r="AO14" s="20">
        <v>4</v>
      </c>
      <c r="AP14" s="20">
        <v>2</v>
      </c>
      <c r="AQ14" s="21">
        <f>SUM(TB_Cockpit_2026[[#This Row],[K1]:[K5]])</f>
        <v>14</v>
      </c>
      <c r="AR14" s="27">
        <f>+TB_Cockpit_2026[[#This Row],[Relev.]]+TB_Cockpit_2026[[#This Row],[SCORE]]</f>
        <v>28</v>
      </c>
      <c r="AS1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14" s="39"/>
    </row>
    <row r="15" spans="1:46" ht="17.45" hidden="1">
      <c r="B15" s="139" t="s">
        <v>73</v>
      </c>
      <c r="C15" s="140" t="s">
        <v>18</v>
      </c>
      <c r="D15" s="141">
        <v>1</v>
      </c>
      <c r="E15" s="181" t="s">
        <v>74</v>
      </c>
      <c r="F15" s="142" t="s">
        <v>0</v>
      </c>
      <c r="G15" s="143" t="s">
        <v>75</v>
      </c>
      <c r="H15" s="142" t="s">
        <v>76</v>
      </c>
      <c r="I15" s="144" t="s">
        <v>66</v>
      </c>
      <c r="J15" s="144" t="s">
        <v>67</v>
      </c>
      <c r="K15" s="35">
        <v>0</v>
      </c>
      <c r="L15" s="145">
        <f>+IF(K15=0,0,IF(K15=1,Apoio!$H$2,IF(K15=2,Apoio!$H$3,IF(K15=3,Apoio!$H$4,IF(K15=4,Apoio!$H$5,0)))))</f>
        <v>0</v>
      </c>
      <c r="M15" s="35">
        <v>0</v>
      </c>
      <c r="N15" s="145">
        <v>7000</v>
      </c>
      <c r="O15" s="146">
        <v>10</v>
      </c>
      <c r="P15" s="147">
        <v>46024</v>
      </c>
      <c r="Q15" s="148">
        <f>+IF(OR(TB_Cockpit_2026[[#This Row],[SPRINT]]="",TB_Cockpit_2026[[#This Row],[SPRINT]]=0),"",TB_Cockpit_2026[[#This Row],[Dt. INÍCIO]]+(TB_Cockpit_2026[[#This Row],[SPRINT]]*15))</f>
        <v>46174</v>
      </c>
      <c r="R1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5" s="150">
        <v>0.1</v>
      </c>
      <c r="T1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1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1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1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1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5" s="43">
        <v>1</v>
      </c>
      <c r="AH15" s="17">
        <v>4</v>
      </c>
      <c r="AI15" s="17">
        <v>4</v>
      </c>
      <c r="AJ15" s="17">
        <v>4</v>
      </c>
      <c r="AK15" s="18">
        <f>+(TB_Cockpit_2026[[#This Row],[Encantar os Clientes]]*$AH$10)+(TB_Cockpit_2026[[#This Row],[Capital com Foco]]*$AJ$10)+(TB_Cockpit_2026[[#This Row],[Alta Rentabilidade]]*$AI$10)+IF(TB_Cockpit_2026[[#This Row],[u]]="u",4,0)</f>
        <v>20</v>
      </c>
      <c r="AL15" s="19">
        <v>4</v>
      </c>
      <c r="AM15" s="20">
        <v>1</v>
      </c>
      <c r="AN15" s="20">
        <v>4</v>
      </c>
      <c r="AO15" s="20">
        <v>4</v>
      </c>
      <c r="AP15" s="20">
        <v>4</v>
      </c>
      <c r="AQ15" s="21">
        <f>SUM(TB_Cockpit_2026[[#This Row],[K1]:[K5]])</f>
        <v>17</v>
      </c>
      <c r="AR15" s="27">
        <f>+TB_Cockpit_2026[[#This Row],[Relev.]]+TB_Cockpit_2026[[#This Row],[SCORE]]</f>
        <v>37</v>
      </c>
      <c r="AS1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15" s="39"/>
    </row>
    <row r="16" spans="1:46" ht="17.45" hidden="1">
      <c r="B16" s="139" t="s">
        <v>77</v>
      </c>
      <c r="C16" s="140"/>
      <c r="D16" s="141">
        <v>1</v>
      </c>
      <c r="E16" s="181" t="s">
        <v>78</v>
      </c>
      <c r="F16" s="142" t="s">
        <v>2</v>
      </c>
      <c r="G16" s="143" t="s">
        <v>64</v>
      </c>
      <c r="H16" s="142" t="s">
        <v>76</v>
      </c>
      <c r="I16" s="144" t="s">
        <v>66</v>
      </c>
      <c r="J16" s="144" t="s">
        <v>67</v>
      </c>
      <c r="K16" s="35">
        <v>0</v>
      </c>
      <c r="L16" s="145">
        <f>+IF(K16=0,0,IF(K16=1,Apoio!$H$2,IF(K16=2,Apoio!$H$3,IF(K16=3,Apoio!$H$4,IF(K16=4,Apoio!$H$5,0)))))</f>
        <v>0</v>
      </c>
      <c r="M16" s="35">
        <v>0</v>
      </c>
      <c r="N16" s="145">
        <v>20000</v>
      </c>
      <c r="O16" s="146">
        <v>10</v>
      </c>
      <c r="P16" s="147">
        <v>46083</v>
      </c>
      <c r="Q16" s="148">
        <f>+IF(OR(TB_Cockpit_2026[[#This Row],[SPRINT]]="",TB_Cockpit_2026[[#This Row],[SPRINT]]=0),"",TB_Cockpit_2026[[#This Row],[Dt. INÍCIO]]+(TB_Cockpit_2026[[#This Row],[SPRINT]]*15))</f>
        <v>46233</v>
      </c>
      <c r="R1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6" s="150"/>
      <c r="T1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1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1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1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1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1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1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1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6" s="43">
        <v>3</v>
      </c>
      <c r="AH16" s="17">
        <v>2</v>
      </c>
      <c r="AI16" s="17">
        <v>1</v>
      </c>
      <c r="AJ16" s="17">
        <v>1</v>
      </c>
      <c r="AK16" s="18">
        <f>+(TB_Cockpit_2026[[#This Row],[Encantar os Clientes]]*$AH$10)+(TB_Cockpit_2026[[#This Row],[Capital com Foco]]*$AJ$10)+(TB_Cockpit_2026[[#This Row],[Alta Rentabilidade]]*$AI$10)+IF(TB_Cockpit_2026[[#This Row],[u]]="u",4,0)</f>
        <v>6</v>
      </c>
      <c r="AL16" s="19">
        <v>2</v>
      </c>
      <c r="AM16" s="20">
        <v>2</v>
      </c>
      <c r="AN16" s="20">
        <v>1</v>
      </c>
      <c r="AO16" s="20">
        <v>3</v>
      </c>
      <c r="AP16" s="20">
        <v>4</v>
      </c>
      <c r="AQ16" s="21">
        <f>SUM(TB_Cockpit_2026[[#This Row],[K1]:[K5]])</f>
        <v>12</v>
      </c>
      <c r="AR16" s="27">
        <f>+TB_Cockpit_2026[[#This Row],[Relev.]]+TB_Cockpit_2026[[#This Row],[SCORE]]</f>
        <v>18</v>
      </c>
      <c r="AS1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16" s="39"/>
    </row>
    <row r="17" spans="2:46" ht="17.45">
      <c r="B17" s="139" t="s">
        <v>79</v>
      </c>
      <c r="C17" s="140"/>
      <c r="D17" s="141">
        <v>1</v>
      </c>
      <c r="E17" s="181" t="s">
        <v>80</v>
      </c>
      <c r="F17" s="142" t="s">
        <v>0</v>
      </c>
      <c r="G17" s="143" t="s">
        <v>75</v>
      </c>
      <c r="H17" s="142" t="s">
        <v>65</v>
      </c>
      <c r="I17" s="152" t="s">
        <v>66</v>
      </c>
      <c r="J17" s="144" t="s">
        <v>67</v>
      </c>
      <c r="K17" s="35">
        <v>0</v>
      </c>
      <c r="L17" s="145">
        <v>8000</v>
      </c>
      <c r="M17" s="35">
        <v>0</v>
      </c>
      <c r="N17" s="145">
        <v>2000</v>
      </c>
      <c r="O17" s="146">
        <v>3</v>
      </c>
      <c r="P17" s="147">
        <v>46024</v>
      </c>
      <c r="Q17" s="148">
        <f>+IF(OR(TB_Cockpit_2026[[#This Row],[SPRINT]]="",TB_Cockpit_2026[[#This Row],[SPRINT]]=0),"",TB_Cockpit_2026[[#This Row],[Dt. INÍCIO]]+(TB_Cockpit_2026[[#This Row],[SPRINT]]*15))</f>
        <v>46069</v>
      </c>
      <c r="R1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7" s="150">
        <v>0.2</v>
      </c>
      <c r="T1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1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1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1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1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7" s="43">
        <v>1</v>
      </c>
      <c r="AH17" s="17">
        <v>2</v>
      </c>
      <c r="AI17" s="17">
        <v>2</v>
      </c>
      <c r="AJ17" s="17">
        <v>2</v>
      </c>
      <c r="AK17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17" s="19">
        <v>2</v>
      </c>
      <c r="AM17" s="20">
        <v>0</v>
      </c>
      <c r="AN17" s="20">
        <v>2</v>
      </c>
      <c r="AO17" s="20">
        <v>1</v>
      </c>
      <c r="AP17" s="20">
        <v>3</v>
      </c>
      <c r="AQ17" s="21">
        <f>SUM(TB_Cockpit_2026[[#This Row],[K1]:[K5]])</f>
        <v>8</v>
      </c>
      <c r="AR17" s="27">
        <f>+TB_Cockpit_2026[[#This Row],[Relev.]]+TB_Cockpit_2026[[#This Row],[SCORE]]</f>
        <v>16</v>
      </c>
      <c r="AS1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17" s="39"/>
    </row>
    <row r="18" spans="2:46" ht="17.45">
      <c r="B18" s="139" t="s">
        <v>81</v>
      </c>
      <c r="C18" s="140"/>
      <c r="D18" s="141">
        <v>1</v>
      </c>
      <c r="E18" s="142" t="s">
        <v>82</v>
      </c>
      <c r="F18" s="142" t="s">
        <v>0</v>
      </c>
      <c r="G18" s="143" t="s">
        <v>75</v>
      </c>
      <c r="H18" s="142" t="s">
        <v>65</v>
      </c>
      <c r="I18" s="144" t="s">
        <v>66</v>
      </c>
      <c r="J18" s="144" t="s">
        <v>67</v>
      </c>
      <c r="K18" s="35">
        <v>0</v>
      </c>
      <c r="L18" s="145">
        <v>10000</v>
      </c>
      <c r="M18" s="35">
        <v>0</v>
      </c>
      <c r="N18" s="145">
        <v>10000</v>
      </c>
      <c r="O18" s="146">
        <v>8</v>
      </c>
      <c r="P18" s="147">
        <v>46083</v>
      </c>
      <c r="Q18" s="148">
        <f>+IF(OR(TB_Cockpit_2026[[#This Row],[SPRINT]]="",TB_Cockpit_2026[[#This Row],[SPRINT]]=0),"",TB_Cockpit_2026[[#This Row],[Dt. INÍCIO]]+(TB_Cockpit_2026[[#This Row],[SPRINT]]*15))</f>
        <v>46203</v>
      </c>
      <c r="R1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8" s="150"/>
      <c r="T1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1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1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1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1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1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1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8" s="43">
        <v>1</v>
      </c>
      <c r="AH18" s="17">
        <v>2</v>
      </c>
      <c r="AI18" s="17">
        <v>2</v>
      </c>
      <c r="AJ18" s="17">
        <v>2</v>
      </c>
      <c r="AK18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18" s="19">
        <v>1</v>
      </c>
      <c r="AM18" s="20">
        <v>1</v>
      </c>
      <c r="AN18" s="20">
        <v>1</v>
      </c>
      <c r="AO18" s="20">
        <v>4</v>
      </c>
      <c r="AP18" s="20">
        <v>1</v>
      </c>
      <c r="AQ18" s="21">
        <f>SUM(TB_Cockpit_2026[[#This Row],[K1]:[K5]])</f>
        <v>8</v>
      </c>
      <c r="AR18" s="27">
        <f>+TB_Cockpit_2026[[#This Row],[Relev.]]+TB_Cockpit_2026[[#This Row],[SCORE]]</f>
        <v>16</v>
      </c>
      <c r="AS1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18" s="39"/>
    </row>
    <row r="19" spans="2:46" ht="17.45" hidden="1">
      <c r="B19" s="139" t="s">
        <v>83</v>
      </c>
      <c r="C19" s="140"/>
      <c r="D19" s="141">
        <v>1</v>
      </c>
      <c r="E19" s="181" t="s">
        <v>84</v>
      </c>
      <c r="F19" s="142" t="s">
        <v>0</v>
      </c>
      <c r="G19" s="143" t="s">
        <v>64</v>
      </c>
      <c r="H19" s="142" t="s">
        <v>76</v>
      </c>
      <c r="I19" s="144" t="s">
        <v>66</v>
      </c>
      <c r="J19" s="144" t="s">
        <v>67</v>
      </c>
      <c r="K19" s="35">
        <v>0</v>
      </c>
      <c r="L19" s="145">
        <f>+IF(K19=0,0,IF(K19=1,Apoio!$H$2,IF(K19=2,Apoio!$H$3,IF(K19=3,Apoio!$H$4,IF(K19=4,Apoio!$H$5,0)))))</f>
        <v>0</v>
      </c>
      <c r="M19" s="35">
        <v>0</v>
      </c>
      <c r="N19" s="145">
        <v>2000</v>
      </c>
      <c r="O19" s="146">
        <v>2</v>
      </c>
      <c r="P19" s="147">
        <v>46027</v>
      </c>
      <c r="Q19" s="148">
        <f>+IF(OR(TB_Cockpit_2026[[#This Row],[SPRINT]]="",TB_Cockpit_2026[[#This Row],[SPRINT]]=0),"",TB_Cockpit_2026[[#This Row],[Dt. INÍCIO]]+(TB_Cockpit_2026[[#This Row],[SPRINT]]*15))</f>
        <v>46057</v>
      </c>
      <c r="R1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19" s="150">
        <v>0.3</v>
      </c>
      <c r="T1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1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1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1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1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1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1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1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1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1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1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1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1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19" s="43">
        <v>0</v>
      </c>
      <c r="AH19" s="17">
        <v>2</v>
      </c>
      <c r="AI19" s="17">
        <v>1</v>
      </c>
      <c r="AJ19" s="17">
        <v>1</v>
      </c>
      <c r="AK19" s="18">
        <f>+(TB_Cockpit_2026[[#This Row],[Encantar os Clientes]]*$AH$10)+(TB_Cockpit_2026[[#This Row],[Capital com Foco]]*$AJ$10)+(TB_Cockpit_2026[[#This Row],[Alta Rentabilidade]]*$AI$10)+IF(TB_Cockpit_2026[[#This Row],[u]]="u",4,0)</f>
        <v>6</v>
      </c>
      <c r="AL19" s="19">
        <v>2</v>
      </c>
      <c r="AM19" s="20">
        <v>2</v>
      </c>
      <c r="AN19" s="20">
        <v>2</v>
      </c>
      <c r="AO19" s="20">
        <v>1</v>
      </c>
      <c r="AP19" s="20">
        <v>2</v>
      </c>
      <c r="AQ19" s="21">
        <f>SUM(TB_Cockpit_2026[[#This Row],[K1]:[K5]])</f>
        <v>9</v>
      </c>
      <c r="AR19" s="27">
        <f>+TB_Cockpit_2026[[#This Row],[Relev.]]+TB_Cockpit_2026[[#This Row],[SCORE]]</f>
        <v>15</v>
      </c>
      <c r="AS1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19" s="39"/>
    </row>
    <row r="20" spans="2:46" ht="17.45">
      <c r="B20" s="139" t="s">
        <v>85</v>
      </c>
      <c r="C20" s="140"/>
      <c r="D20" s="141">
        <v>1</v>
      </c>
      <c r="E20" s="142" t="s">
        <v>86</v>
      </c>
      <c r="F20" s="142" t="s">
        <v>0</v>
      </c>
      <c r="G20" s="143" t="s">
        <v>75</v>
      </c>
      <c r="H20" s="142" t="s">
        <v>76</v>
      </c>
      <c r="I20" s="144" t="s">
        <v>66</v>
      </c>
      <c r="J20" s="144" t="s">
        <v>67</v>
      </c>
      <c r="K20" s="35">
        <v>0</v>
      </c>
      <c r="L20" s="145">
        <v>20000</v>
      </c>
      <c r="M20" s="35">
        <v>0</v>
      </c>
      <c r="N20" s="145">
        <v>5000</v>
      </c>
      <c r="O20" s="146">
        <v>8</v>
      </c>
      <c r="P20" s="147">
        <v>46118</v>
      </c>
      <c r="Q20" s="148">
        <f>+IF(OR(TB_Cockpit_2026[[#This Row],[SPRINT]]="",TB_Cockpit_2026[[#This Row],[SPRINT]]=0),"",TB_Cockpit_2026[[#This Row],[Dt. INÍCIO]]+(TB_Cockpit_2026[[#This Row],[SPRINT]]*15))</f>
        <v>46238</v>
      </c>
      <c r="R2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0" s="150"/>
      <c r="T2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2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2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2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2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2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2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2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0" s="43">
        <v>1</v>
      </c>
      <c r="AH20" s="17">
        <v>3</v>
      </c>
      <c r="AI20" s="17">
        <v>2</v>
      </c>
      <c r="AJ20" s="17">
        <v>3</v>
      </c>
      <c r="AK20" s="18">
        <f>+(TB_Cockpit_2026[[#This Row],[Encantar os Clientes]]*$AH$10)+(TB_Cockpit_2026[[#This Row],[Capital com Foco]]*$AJ$10)+(TB_Cockpit_2026[[#This Row],[Alta Rentabilidade]]*$AI$10)+IF(TB_Cockpit_2026[[#This Row],[u]]="u",4,0)</f>
        <v>11</v>
      </c>
      <c r="AL20" s="19">
        <v>4</v>
      </c>
      <c r="AM20" s="20">
        <v>2</v>
      </c>
      <c r="AN20" s="20">
        <v>4</v>
      </c>
      <c r="AO20" s="20">
        <v>2</v>
      </c>
      <c r="AP20" s="20">
        <v>4</v>
      </c>
      <c r="AQ20" s="21">
        <f>SUM(TB_Cockpit_2026[[#This Row],[K1]:[K5]])</f>
        <v>16</v>
      </c>
      <c r="AR20" s="27">
        <f>+TB_Cockpit_2026[[#This Row],[Relev.]]+TB_Cockpit_2026[[#This Row],[SCORE]]</f>
        <v>27</v>
      </c>
      <c r="AS2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20" s="39"/>
    </row>
    <row r="21" spans="2:46" ht="17.45">
      <c r="B21" s="139" t="s">
        <v>87</v>
      </c>
      <c r="C21" s="140" t="s">
        <v>18</v>
      </c>
      <c r="D21" s="141">
        <v>1</v>
      </c>
      <c r="E21" s="181" t="s">
        <v>88</v>
      </c>
      <c r="F21" s="142" t="s">
        <v>0</v>
      </c>
      <c r="G21" s="143" t="s">
        <v>75</v>
      </c>
      <c r="H21" s="142" t="s">
        <v>65</v>
      </c>
      <c r="I21" s="144" t="s">
        <v>66</v>
      </c>
      <c r="J21" s="144" t="s">
        <v>67</v>
      </c>
      <c r="K21" s="35">
        <v>0</v>
      </c>
      <c r="L21" s="145">
        <v>4000</v>
      </c>
      <c r="M21" s="35">
        <v>0</v>
      </c>
      <c r="N21" s="145">
        <v>4000</v>
      </c>
      <c r="O21" s="146">
        <v>2</v>
      </c>
      <c r="P21" s="147">
        <v>46027</v>
      </c>
      <c r="Q21" s="148">
        <f>+IF(OR(TB_Cockpit_2026[[#This Row],[SPRINT]]="",TB_Cockpit_2026[[#This Row],[SPRINT]]=0),"",TB_Cockpit_2026[[#This Row],[Dt. INÍCIO]]+(TB_Cockpit_2026[[#This Row],[SPRINT]]*15))</f>
        <v>46057</v>
      </c>
      <c r="R2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1" s="150">
        <v>0.8</v>
      </c>
      <c r="T2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1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21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21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1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1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1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1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1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1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1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1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1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1" s="43">
        <v>3</v>
      </c>
      <c r="AH21" s="17">
        <v>4</v>
      </c>
      <c r="AI21" s="17">
        <v>3</v>
      </c>
      <c r="AJ21" s="17">
        <v>3</v>
      </c>
      <c r="AK21" s="18">
        <f>+(TB_Cockpit_2026[[#This Row],[Encantar os Clientes]]*$AH$10)+(TB_Cockpit_2026[[#This Row],[Capital com Foco]]*$AJ$10)+(TB_Cockpit_2026[[#This Row],[Alta Rentabilidade]]*$AI$10)+IF(TB_Cockpit_2026[[#This Row],[u]]="u",4,0)</f>
        <v>18</v>
      </c>
      <c r="AL21" s="19">
        <v>4</v>
      </c>
      <c r="AM21" s="20">
        <v>2</v>
      </c>
      <c r="AN21" s="20">
        <v>4</v>
      </c>
      <c r="AO21" s="20">
        <v>4</v>
      </c>
      <c r="AP21" s="20">
        <v>4</v>
      </c>
      <c r="AQ21" s="21">
        <f>SUM(TB_Cockpit_2026[[#This Row],[K1]:[K5]])</f>
        <v>18</v>
      </c>
      <c r="AR21" s="27">
        <f>+TB_Cockpit_2026[[#This Row],[Relev.]]+TB_Cockpit_2026[[#This Row],[SCORE]]</f>
        <v>36</v>
      </c>
      <c r="AS2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21" s="39"/>
    </row>
    <row r="22" spans="2:46" ht="17.45">
      <c r="B22" s="139" t="s">
        <v>89</v>
      </c>
      <c r="C22" s="140"/>
      <c r="D22" s="141">
        <v>1</v>
      </c>
      <c r="E22" s="181" t="s">
        <v>90</v>
      </c>
      <c r="F22" s="142" t="s">
        <v>0</v>
      </c>
      <c r="G22" s="143" t="s">
        <v>75</v>
      </c>
      <c r="H22" s="142" t="s">
        <v>65</v>
      </c>
      <c r="I22" s="144" t="s">
        <v>66</v>
      </c>
      <c r="J22" s="144" t="s">
        <v>67</v>
      </c>
      <c r="K22" s="35">
        <v>0</v>
      </c>
      <c r="L22" s="145">
        <v>5000</v>
      </c>
      <c r="M22" s="35">
        <v>0</v>
      </c>
      <c r="N22" s="145">
        <v>6000</v>
      </c>
      <c r="O22" s="146">
        <v>4</v>
      </c>
      <c r="P22" s="147">
        <v>46024</v>
      </c>
      <c r="Q22" s="148">
        <f>+IF(OR(TB_Cockpit_2026[[#This Row],[SPRINT]]="",TB_Cockpit_2026[[#This Row],[SPRINT]]=0),"",TB_Cockpit_2026[[#This Row],[Dt. INÍCIO]]+(TB_Cockpit_2026[[#This Row],[SPRINT]]*15))</f>
        <v>46084</v>
      </c>
      <c r="R2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2" s="150">
        <v>0.2</v>
      </c>
      <c r="T2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2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2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2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2" s="43">
        <v>3</v>
      </c>
      <c r="AH22" s="17">
        <v>4</v>
      </c>
      <c r="AI22" s="17">
        <v>4</v>
      </c>
      <c r="AJ22" s="17">
        <v>4</v>
      </c>
      <c r="AK22" s="18">
        <f>+(TB_Cockpit_2026[[#This Row],[Encantar os Clientes]]*$AH$10)+(TB_Cockpit_2026[[#This Row],[Capital com Foco]]*$AJ$10)+(TB_Cockpit_2026[[#This Row],[Alta Rentabilidade]]*$AI$10)+IF(TB_Cockpit_2026[[#This Row],[u]]="u",4,0)</f>
        <v>16</v>
      </c>
      <c r="AL22" s="19">
        <v>3</v>
      </c>
      <c r="AM22" s="20">
        <v>0</v>
      </c>
      <c r="AN22" s="20">
        <v>2</v>
      </c>
      <c r="AO22" s="20">
        <v>3</v>
      </c>
      <c r="AP22" s="20">
        <v>2</v>
      </c>
      <c r="AQ22" s="21">
        <f>SUM(TB_Cockpit_2026[[#This Row],[K1]:[K5]])</f>
        <v>10</v>
      </c>
      <c r="AR22" s="27">
        <f>+TB_Cockpit_2026[[#This Row],[Relev.]]+TB_Cockpit_2026[[#This Row],[SCORE]]</f>
        <v>26</v>
      </c>
      <c r="AS2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22" s="39"/>
    </row>
    <row r="23" spans="2:46" ht="17.45">
      <c r="B23" s="139" t="s">
        <v>91</v>
      </c>
      <c r="C23" s="140" t="s">
        <v>18</v>
      </c>
      <c r="D23" s="141">
        <v>1</v>
      </c>
      <c r="E23" s="142" t="s">
        <v>92</v>
      </c>
      <c r="F23" s="142" t="s">
        <v>0</v>
      </c>
      <c r="G23" s="143" t="s">
        <v>75</v>
      </c>
      <c r="H23" s="142" t="s">
        <v>76</v>
      </c>
      <c r="I23" s="144" t="s">
        <v>66</v>
      </c>
      <c r="J23" s="144" t="s">
        <v>67</v>
      </c>
      <c r="K23" s="35">
        <v>0</v>
      </c>
      <c r="L23" s="145">
        <v>7000</v>
      </c>
      <c r="M23" s="35">
        <v>0</v>
      </c>
      <c r="N23" s="145">
        <v>5000</v>
      </c>
      <c r="O23" s="146">
        <v>8</v>
      </c>
      <c r="P23" s="147">
        <v>46209</v>
      </c>
      <c r="Q23" s="148">
        <f>+IF(OR(TB_Cockpit_2026[[#This Row],[SPRINT]]="",TB_Cockpit_2026[[#This Row],[SPRINT]]=0),"",TB_Cockpit_2026[[#This Row],[Dt. INÍCIO]]+(TB_Cockpit_2026[[#This Row],[SPRINT]]*15))</f>
        <v>46329</v>
      </c>
      <c r="R2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3" s="150"/>
      <c r="T2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2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2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2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2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2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2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2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3" s="43">
        <v>1</v>
      </c>
      <c r="AH23" s="17">
        <v>2</v>
      </c>
      <c r="AI23" s="17">
        <v>2</v>
      </c>
      <c r="AJ23" s="17">
        <v>2</v>
      </c>
      <c r="AK23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23" s="19">
        <v>1</v>
      </c>
      <c r="AM23" s="20">
        <v>2</v>
      </c>
      <c r="AN23" s="20">
        <v>3</v>
      </c>
      <c r="AO23" s="20">
        <v>2</v>
      </c>
      <c r="AP23" s="20">
        <v>3</v>
      </c>
      <c r="AQ23" s="21">
        <f>SUM(TB_Cockpit_2026[[#This Row],[K1]:[K5]])</f>
        <v>11</v>
      </c>
      <c r="AR23" s="27">
        <f>+TB_Cockpit_2026[[#This Row],[Relev.]]+TB_Cockpit_2026[[#This Row],[SCORE]]</f>
        <v>23</v>
      </c>
      <c r="AS2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23" s="39"/>
    </row>
    <row r="24" spans="2:46" ht="17.45">
      <c r="B24" s="139" t="s">
        <v>93</v>
      </c>
      <c r="C24" s="140"/>
      <c r="D24" s="141">
        <v>1</v>
      </c>
      <c r="E24" s="142" t="s">
        <v>94</v>
      </c>
      <c r="F24" s="142" t="s">
        <v>2</v>
      </c>
      <c r="G24" s="143" t="s">
        <v>75</v>
      </c>
      <c r="H24" s="142" t="s">
        <v>76</v>
      </c>
      <c r="I24" s="152" t="s">
        <v>66</v>
      </c>
      <c r="J24" s="144" t="s">
        <v>67</v>
      </c>
      <c r="K24" s="35">
        <v>0</v>
      </c>
      <c r="L24" s="145">
        <v>7000</v>
      </c>
      <c r="M24" s="35">
        <v>0</v>
      </c>
      <c r="N24" s="145">
        <v>5000</v>
      </c>
      <c r="O24" s="146">
        <v>8</v>
      </c>
      <c r="P24" s="147">
        <v>46240</v>
      </c>
      <c r="Q24" s="148">
        <f>+IF(OR(TB_Cockpit_2026[[#This Row],[SPRINT]]="",TB_Cockpit_2026[[#This Row],[SPRINT]]=0),"",TB_Cockpit_2026[[#This Row],[Dt. INÍCIO]]+(TB_Cockpit_2026[[#This Row],[SPRINT]]*15))</f>
        <v>46360</v>
      </c>
      <c r="R2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4" s="150"/>
      <c r="T2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2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2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2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2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2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2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24" s="43">
        <v>1</v>
      </c>
      <c r="AH24" s="17">
        <v>1</v>
      </c>
      <c r="AI24" s="17">
        <v>1</v>
      </c>
      <c r="AJ24" s="17">
        <v>2</v>
      </c>
      <c r="AK24" s="18">
        <f>+(TB_Cockpit_2026[[#This Row],[Encantar os Clientes]]*$AH$10)+(TB_Cockpit_2026[[#This Row],[Capital com Foco]]*$AJ$10)+(TB_Cockpit_2026[[#This Row],[Alta Rentabilidade]]*$AI$10)+IF(TB_Cockpit_2026[[#This Row],[u]]="u",4,0)</f>
        <v>5</v>
      </c>
      <c r="AL24" s="19">
        <v>3</v>
      </c>
      <c r="AM24" s="20">
        <v>1</v>
      </c>
      <c r="AN24" s="20">
        <v>4</v>
      </c>
      <c r="AO24" s="20">
        <v>1</v>
      </c>
      <c r="AP24" s="20">
        <v>3</v>
      </c>
      <c r="AQ24" s="21">
        <f>SUM(TB_Cockpit_2026[[#This Row],[K1]:[K5]])</f>
        <v>12</v>
      </c>
      <c r="AR24" s="27">
        <f>+TB_Cockpit_2026[[#This Row],[Relev.]]+TB_Cockpit_2026[[#This Row],[SCORE]]</f>
        <v>17</v>
      </c>
      <c r="AS2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24" s="39"/>
    </row>
    <row r="25" spans="2:46" ht="17.45">
      <c r="B25" s="139" t="s">
        <v>95</v>
      </c>
      <c r="C25" s="140"/>
      <c r="D25" s="141">
        <v>1</v>
      </c>
      <c r="E25" s="181" t="s">
        <v>96</v>
      </c>
      <c r="F25" s="142" t="s">
        <v>2</v>
      </c>
      <c r="G25" s="143" t="s">
        <v>64</v>
      </c>
      <c r="H25" s="142" t="s">
        <v>65</v>
      </c>
      <c r="I25" s="152" t="s">
        <v>66</v>
      </c>
      <c r="J25" s="144" t="s">
        <v>67</v>
      </c>
      <c r="K25" s="35">
        <v>0</v>
      </c>
      <c r="L25" s="145">
        <v>5000</v>
      </c>
      <c r="M25" s="35">
        <v>0</v>
      </c>
      <c r="N25" s="145">
        <v>3000</v>
      </c>
      <c r="O25" s="146">
        <v>5</v>
      </c>
      <c r="P25" s="147">
        <v>46083</v>
      </c>
      <c r="Q25" s="148">
        <f>+IF(OR(TB_Cockpit_2026[[#This Row],[SPRINT]]="",TB_Cockpit_2026[[#This Row],[SPRINT]]=0),"",TB_Cockpit_2026[[#This Row],[Dt. INÍCIO]]+(TB_Cockpit_2026[[#This Row],[SPRINT]]*15))</f>
        <v>46158</v>
      </c>
      <c r="R2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5" s="150"/>
      <c r="T2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2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2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2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2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2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5" s="43">
        <v>1</v>
      </c>
      <c r="AH25" s="17">
        <v>3</v>
      </c>
      <c r="AI25" s="17">
        <v>2</v>
      </c>
      <c r="AJ25" s="17">
        <v>2</v>
      </c>
      <c r="AK25" s="18">
        <f>+(TB_Cockpit_2026[[#This Row],[Encantar os Clientes]]*$AH$10)+(TB_Cockpit_2026[[#This Row],[Capital com Foco]]*$AJ$10)+(TB_Cockpit_2026[[#This Row],[Alta Rentabilidade]]*$AI$10)+IF(TB_Cockpit_2026[[#This Row],[u]]="u",4,0)</f>
        <v>10</v>
      </c>
      <c r="AL25" s="19">
        <v>3</v>
      </c>
      <c r="AM25" s="20">
        <v>2</v>
      </c>
      <c r="AN25" s="20">
        <v>2</v>
      </c>
      <c r="AO25" s="20">
        <v>2</v>
      </c>
      <c r="AP25" s="20">
        <v>2</v>
      </c>
      <c r="AQ25" s="21">
        <f>SUM(TB_Cockpit_2026[[#This Row],[K1]:[K5]])</f>
        <v>11</v>
      </c>
      <c r="AR25" s="27">
        <f>+TB_Cockpit_2026[[#This Row],[Relev.]]+TB_Cockpit_2026[[#This Row],[SCORE]]</f>
        <v>21</v>
      </c>
      <c r="AS2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25" s="39"/>
    </row>
    <row r="26" spans="2:46" ht="17.45">
      <c r="B26" s="139" t="s">
        <v>97</v>
      </c>
      <c r="C26" s="140"/>
      <c r="D26" s="141">
        <v>1</v>
      </c>
      <c r="E26" s="181" t="s">
        <v>98</v>
      </c>
      <c r="F26" s="142" t="s">
        <v>0</v>
      </c>
      <c r="G26" s="143" t="s">
        <v>75</v>
      </c>
      <c r="H26" s="142" t="s">
        <v>65</v>
      </c>
      <c r="I26" s="152" t="s">
        <v>66</v>
      </c>
      <c r="J26" s="144" t="s">
        <v>67</v>
      </c>
      <c r="K26" s="35">
        <v>0</v>
      </c>
      <c r="L26" s="145">
        <v>8000</v>
      </c>
      <c r="M26" s="35">
        <v>0</v>
      </c>
      <c r="N26" s="145">
        <v>4000</v>
      </c>
      <c r="O26" s="146">
        <v>4</v>
      </c>
      <c r="P26" s="147">
        <v>46027</v>
      </c>
      <c r="Q26" s="148">
        <f>+IF(OR(TB_Cockpit_2026[[#This Row],[SPRINT]]="",TB_Cockpit_2026[[#This Row],[SPRINT]]=0),"",TB_Cockpit_2026[[#This Row],[Dt. INÍCIO]]+(TB_Cockpit_2026[[#This Row],[SPRINT]]*15))</f>
        <v>46087</v>
      </c>
      <c r="R2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6" s="150">
        <v>0.5</v>
      </c>
      <c r="T2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2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2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2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6" s="43">
        <v>1</v>
      </c>
      <c r="AH26" s="17">
        <v>2</v>
      </c>
      <c r="AI26" s="17">
        <v>4</v>
      </c>
      <c r="AJ26" s="17">
        <v>4</v>
      </c>
      <c r="AK26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26" s="19">
        <v>4</v>
      </c>
      <c r="AM26" s="20">
        <v>1</v>
      </c>
      <c r="AN26" s="20">
        <v>4</v>
      </c>
      <c r="AO26" s="20">
        <v>2</v>
      </c>
      <c r="AP26" s="20">
        <v>3</v>
      </c>
      <c r="AQ26" s="21">
        <f>SUM(TB_Cockpit_2026[[#This Row],[K1]:[K5]])</f>
        <v>14</v>
      </c>
      <c r="AR26" s="27">
        <f>+TB_Cockpit_2026[[#This Row],[Relev.]]+TB_Cockpit_2026[[#This Row],[SCORE]]</f>
        <v>26</v>
      </c>
      <c r="AS2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26" s="39"/>
    </row>
    <row r="27" spans="2:46" ht="17.850000000000001" customHeight="1">
      <c r="B27" s="139" t="s">
        <v>99</v>
      </c>
      <c r="C27" s="140"/>
      <c r="D27" s="141">
        <v>1</v>
      </c>
      <c r="E27" s="142" t="s">
        <v>100</v>
      </c>
      <c r="F27" s="142" t="s">
        <v>0</v>
      </c>
      <c r="G27" s="143" t="s">
        <v>75</v>
      </c>
      <c r="H27" s="142" t="s">
        <v>70</v>
      </c>
      <c r="I27" s="152" t="s">
        <v>66</v>
      </c>
      <c r="J27" s="144" t="s">
        <v>67</v>
      </c>
      <c r="K27" s="35">
        <v>0</v>
      </c>
      <c r="L27" s="145">
        <v>20000</v>
      </c>
      <c r="M27" s="35">
        <v>0</v>
      </c>
      <c r="N27" s="145">
        <v>60000</v>
      </c>
      <c r="O27" s="146">
        <v>6</v>
      </c>
      <c r="P27" s="147">
        <v>46271</v>
      </c>
      <c r="Q27" s="148">
        <f>+IF(OR(TB_Cockpit_2026[[#This Row],[SPRINT]]="",TB_Cockpit_2026[[#This Row],[SPRINT]]=0),"",TB_Cockpit_2026[[#This Row],[Dt. INÍCIO]]+(TB_Cockpit_2026[[#This Row],[SPRINT]]*15))</f>
        <v>46361</v>
      </c>
      <c r="R2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7" s="150"/>
      <c r="T2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2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2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2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2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2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27" s="43">
        <v>1</v>
      </c>
      <c r="AH27" s="17">
        <v>2</v>
      </c>
      <c r="AI27" s="17">
        <v>2</v>
      </c>
      <c r="AJ27" s="17">
        <v>2</v>
      </c>
      <c r="AK27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27" s="19">
        <v>2</v>
      </c>
      <c r="AM27" s="20">
        <v>2</v>
      </c>
      <c r="AN27" s="20">
        <v>2</v>
      </c>
      <c r="AO27" s="20">
        <v>2</v>
      </c>
      <c r="AP27" s="20">
        <v>2</v>
      </c>
      <c r="AQ27" s="21">
        <f>SUM(TB_Cockpit_2026[[#This Row],[K1]:[K5]])</f>
        <v>10</v>
      </c>
      <c r="AR27" s="27">
        <f>+TB_Cockpit_2026[[#This Row],[Relev.]]+TB_Cockpit_2026[[#This Row],[SCORE]]</f>
        <v>18</v>
      </c>
      <c r="AS2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27" s="39"/>
    </row>
    <row r="28" spans="2:46" ht="17.45">
      <c r="B28" s="139" t="s">
        <v>101</v>
      </c>
      <c r="C28" s="140"/>
      <c r="D28" s="141">
        <v>1</v>
      </c>
      <c r="E28" s="181" t="s">
        <v>102</v>
      </c>
      <c r="F28" s="142" t="s">
        <v>0</v>
      </c>
      <c r="G28" s="143" t="s">
        <v>75</v>
      </c>
      <c r="H28" s="142" t="s">
        <v>65</v>
      </c>
      <c r="I28" s="144" t="s">
        <v>66</v>
      </c>
      <c r="J28" s="144" t="s">
        <v>67</v>
      </c>
      <c r="K28" s="35">
        <v>0</v>
      </c>
      <c r="L28" s="145">
        <v>5000</v>
      </c>
      <c r="M28" s="35">
        <v>0</v>
      </c>
      <c r="N28" s="145">
        <v>100000</v>
      </c>
      <c r="O28" s="146">
        <v>4</v>
      </c>
      <c r="P28" s="147">
        <v>46024</v>
      </c>
      <c r="Q28" s="148">
        <f>+IF(OR(TB_Cockpit_2026[[#This Row],[SPRINT]]="",TB_Cockpit_2026[[#This Row],[SPRINT]]=0),"",TB_Cockpit_2026[[#This Row],[Dt. INÍCIO]]+(TB_Cockpit_2026[[#This Row],[SPRINT]]*15))</f>
        <v>46084</v>
      </c>
      <c r="R2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8" s="150">
        <v>0.3</v>
      </c>
      <c r="T2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2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2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2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8" s="43">
        <v>1</v>
      </c>
      <c r="AH28" s="17">
        <v>4</v>
      </c>
      <c r="AI28" s="17">
        <v>4</v>
      </c>
      <c r="AJ28" s="17">
        <v>4</v>
      </c>
      <c r="AK28" s="18">
        <f>+(TB_Cockpit_2026[[#This Row],[Encantar os Clientes]]*$AH$10)+(TB_Cockpit_2026[[#This Row],[Capital com Foco]]*$AJ$10)+(TB_Cockpit_2026[[#This Row],[Alta Rentabilidade]]*$AI$10)+IF(TB_Cockpit_2026[[#This Row],[u]]="u",4,0)</f>
        <v>16</v>
      </c>
      <c r="AL28" s="19">
        <v>2</v>
      </c>
      <c r="AM28" s="20">
        <v>0</v>
      </c>
      <c r="AN28" s="20">
        <v>4</v>
      </c>
      <c r="AO28" s="20">
        <v>0</v>
      </c>
      <c r="AP28" s="20">
        <v>4</v>
      </c>
      <c r="AQ28" s="21">
        <f>SUM(TB_Cockpit_2026[[#This Row],[K1]:[K5]])</f>
        <v>10</v>
      </c>
      <c r="AR28" s="27">
        <f>+TB_Cockpit_2026[[#This Row],[Relev.]]+TB_Cockpit_2026[[#This Row],[SCORE]]</f>
        <v>26</v>
      </c>
      <c r="AS2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28" s="39"/>
    </row>
    <row r="29" spans="2:46" ht="17.45">
      <c r="B29" s="139" t="s">
        <v>103</v>
      </c>
      <c r="C29" s="140"/>
      <c r="D29" s="141">
        <v>1</v>
      </c>
      <c r="E29" s="181" t="s">
        <v>104</v>
      </c>
      <c r="F29" s="142" t="s">
        <v>0</v>
      </c>
      <c r="G29" s="143" t="s">
        <v>64</v>
      </c>
      <c r="H29" s="142" t="s">
        <v>76</v>
      </c>
      <c r="I29" s="144" t="s">
        <v>66</v>
      </c>
      <c r="J29" s="144" t="s">
        <v>67</v>
      </c>
      <c r="K29" s="35">
        <v>0</v>
      </c>
      <c r="L29" s="145">
        <v>5000</v>
      </c>
      <c r="M29" s="35">
        <v>0</v>
      </c>
      <c r="N29" s="145">
        <v>1000</v>
      </c>
      <c r="O29" s="146">
        <v>3</v>
      </c>
      <c r="P29" s="147">
        <v>46024</v>
      </c>
      <c r="Q29" s="148">
        <f>+IF(OR(TB_Cockpit_2026[[#This Row],[SPRINT]]="",TB_Cockpit_2026[[#This Row],[SPRINT]]=0),"",TB_Cockpit_2026[[#This Row],[Dt. INÍCIO]]+(TB_Cockpit_2026[[#This Row],[SPRINT]]*15))</f>
        <v>46069</v>
      </c>
      <c r="R2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29" s="150">
        <v>0.1</v>
      </c>
      <c r="T2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2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2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2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2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2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2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2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2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2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2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2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2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29" s="43">
        <v>1</v>
      </c>
      <c r="AH29" s="17">
        <v>4</v>
      </c>
      <c r="AI29" s="17">
        <v>1</v>
      </c>
      <c r="AJ29" s="17">
        <v>1</v>
      </c>
      <c r="AK29" s="18">
        <f>+(TB_Cockpit_2026[[#This Row],[Encantar os Clientes]]*$AH$10)+(TB_Cockpit_2026[[#This Row],[Capital com Foco]]*$AJ$10)+(TB_Cockpit_2026[[#This Row],[Alta Rentabilidade]]*$AI$10)+IF(TB_Cockpit_2026[[#This Row],[u]]="u",4,0)</f>
        <v>10</v>
      </c>
      <c r="AL29" s="19">
        <v>1</v>
      </c>
      <c r="AM29" s="20">
        <v>0</v>
      </c>
      <c r="AN29" s="20">
        <v>3</v>
      </c>
      <c r="AO29" s="20">
        <v>0</v>
      </c>
      <c r="AP29" s="20">
        <v>4</v>
      </c>
      <c r="AQ29" s="21">
        <f>SUM(TB_Cockpit_2026[[#This Row],[K1]:[K5]])</f>
        <v>8</v>
      </c>
      <c r="AR29" s="27">
        <f>+TB_Cockpit_2026[[#This Row],[Relev.]]+TB_Cockpit_2026[[#This Row],[SCORE]]</f>
        <v>18</v>
      </c>
      <c r="AS2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29" s="39"/>
    </row>
    <row r="30" spans="2:46" ht="17.45">
      <c r="B30" s="139" t="s">
        <v>105</v>
      </c>
      <c r="C30" s="140"/>
      <c r="D30" s="141">
        <v>1</v>
      </c>
      <c r="E30" s="181" t="s">
        <v>106</v>
      </c>
      <c r="F30" s="142" t="s">
        <v>2</v>
      </c>
      <c r="G30" s="143" t="s">
        <v>64</v>
      </c>
      <c r="H30" s="142" t="s">
        <v>76</v>
      </c>
      <c r="I30" s="144" t="s">
        <v>66</v>
      </c>
      <c r="J30" s="144" t="s">
        <v>67</v>
      </c>
      <c r="K30" s="35">
        <v>0</v>
      </c>
      <c r="L30" s="145">
        <v>5000</v>
      </c>
      <c r="M30" s="35">
        <v>0</v>
      </c>
      <c r="N30" s="145">
        <v>1000</v>
      </c>
      <c r="O30" s="146">
        <v>4</v>
      </c>
      <c r="P30" s="147">
        <v>46024</v>
      </c>
      <c r="Q30" s="148">
        <f>+IF(OR(TB_Cockpit_2026[[#This Row],[SPRINT]]="",TB_Cockpit_2026[[#This Row],[SPRINT]]=0),"",TB_Cockpit_2026[[#This Row],[Dt. INÍCIO]]+(TB_Cockpit_2026[[#This Row],[SPRINT]]*15))</f>
        <v>46084</v>
      </c>
      <c r="R3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0" s="150">
        <v>0.4</v>
      </c>
      <c r="T3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3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0" s="43">
        <v>2</v>
      </c>
      <c r="AH30" s="17">
        <v>2</v>
      </c>
      <c r="AI30" s="17">
        <v>2</v>
      </c>
      <c r="AJ30" s="17">
        <v>1</v>
      </c>
      <c r="AK30" s="18">
        <f>+(TB_Cockpit_2026[[#This Row],[Encantar os Clientes]]*$AH$10)+(TB_Cockpit_2026[[#This Row],[Capital com Foco]]*$AJ$10)+(TB_Cockpit_2026[[#This Row],[Alta Rentabilidade]]*$AI$10)+IF(TB_Cockpit_2026[[#This Row],[u]]="u",4,0)</f>
        <v>7</v>
      </c>
      <c r="AL30" s="19">
        <v>2</v>
      </c>
      <c r="AM30" s="20">
        <v>2</v>
      </c>
      <c r="AN30" s="20">
        <v>1</v>
      </c>
      <c r="AO30" s="20">
        <v>4</v>
      </c>
      <c r="AP30" s="20">
        <v>2</v>
      </c>
      <c r="AQ30" s="21">
        <f>SUM(TB_Cockpit_2026[[#This Row],[K1]:[K5]])</f>
        <v>11</v>
      </c>
      <c r="AR30" s="27">
        <f>+TB_Cockpit_2026[[#This Row],[Relev.]]+TB_Cockpit_2026[[#This Row],[SCORE]]</f>
        <v>18</v>
      </c>
      <c r="AS3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30" s="39"/>
    </row>
    <row r="31" spans="2:46" ht="17.45">
      <c r="B31" s="139" t="s">
        <v>107</v>
      </c>
      <c r="C31" s="140" t="s">
        <v>18</v>
      </c>
      <c r="D31" s="141">
        <v>1</v>
      </c>
      <c r="E31" s="181" t="s">
        <v>108</v>
      </c>
      <c r="F31" s="142" t="s">
        <v>0</v>
      </c>
      <c r="G31" s="143" t="s">
        <v>75</v>
      </c>
      <c r="H31" s="142" t="s">
        <v>65</v>
      </c>
      <c r="I31" s="152" t="s">
        <v>66</v>
      </c>
      <c r="J31" s="144" t="s">
        <v>67</v>
      </c>
      <c r="K31" s="35">
        <v>0</v>
      </c>
      <c r="L31" s="145">
        <v>20000</v>
      </c>
      <c r="M31" s="35">
        <v>0</v>
      </c>
      <c r="N31" s="145">
        <v>2000</v>
      </c>
      <c r="O31" s="146">
        <v>24</v>
      </c>
      <c r="P31" s="147">
        <v>46027</v>
      </c>
      <c r="Q31" s="148">
        <f>+IF(OR(TB_Cockpit_2026[[#This Row],[SPRINT]]="",TB_Cockpit_2026[[#This Row],[SPRINT]]=0),"",TB_Cockpit_2026[[#This Row],[Dt. INÍCIO]]+(TB_Cockpit_2026[[#This Row],[SPRINT]]*15))</f>
        <v>46387</v>
      </c>
      <c r="R3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1" s="150">
        <v>0.8</v>
      </c>
      <c r="T3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1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1" s="40"/>
      <c r="W31" s="40"/>
      <c r="X31" s="151"/>
      <c r="Y31" s="151"/>
      <c r="Z31" s="40"/>
      <c r="AA31" s="40"/>
      <c r="AB31" s="40"/>
      <c r="AC31" s="40"/>
      <c r="AD31" s="40"/>
      <c r="AE31" s="40"/>
      <c r="AF31" s="41"/>
      <c r="AG31" s="43">
        <v>3</v>
      </c>
      <c r="AH31" s="17">
        <v>4</v>
      </c>
      <c r="AI31" s="17">
        <v>4</v>
      </c>
      <c r="AJ31" s="17">
        <v>4</v>
      </c>
      <c r="AK31" s="18">
        <f>+(TB_Cockpit_2026[[#This Row],[Encantar os Clientes]]*$AH$10)+(TB_Cockpit_2026[[#This Row],[Capital com Foco]]*$AJ$10)+(TB_Cockpit_2026[[#This Row],[Alta Rentabilidade]]*$AI$10)+IF(TB_Cockpit_2026[[#This Row],[u]]="u",4,0)</f>
        <v>20</v>
      </c>
      <c r="AL31" s="19">
        <v>4</v>
      </c>
      <c r="AM31" s="20">
        <v>3</v>
      </c>
      <c r="AN31" s="20">
        <v>4</v>
      </c>
      <c r="AO31" s="20">
        <v>4</v>
      </c>
      <c r="AP31" s="20">
        <v>4</v>
      </c>
      <c r="AQ31" s="21">
        <f>SUM(TB_Cockpit_2026[[#This Row],[K1]:[K5]])</f>
        <v>19</v>
      </c>
      <c r="AR31" s="27">
        <f>+TB_Cockpit_2026[[#This Row],[Relev.]]+TB_Cockpit_2026[[#This Row],[SCORE]]</f>
        <v>39</v>
      </c>
      <c r="AS3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31" s="39"/>
    </row>
    <row r="32" spans="2:46" ht="17.45">
      <c r="B32" s="139" t="s">
        <v>109</v>
      </c>
      <c r="C32" s="140" t="s">
        <v>18</v>
      </c>
      <c r="D32" s="141">
        <v>1</v>
      </c>
      <c r="E32" s="181" t="s">
        <v>110</v>
      </c>
      <c r="F32" s="142" t="s">
        <v>0</v>
      </c>
      <c r="G32" s="143" t="s">
        <v>64</v>
      </c>
      <c r="H32" s="142" t="s">
        <v>65</v>
      </c>
      <c r="I32" s="144" t="s">
        <v>66</v>
      </c>
      <c r="J32" s="144" t="s">
        <v>67</v>
      </c>
      <c r="K32" s="35">
        <v>0</v>
      </c>
      <c r="L32" s="145">
        <v>20000</v>
      </c>
      <c r="M32" s="35">
        <v>0</v>
      </c>
      <c r="N32" s="145">
        <v>2000</v>
      </c>
      <c r="O32" s="146">
        <v>8</v>
      </c>
      <c r="P32" s="147">
        <v>46027</v>
      </c>
      <c r="Q32" s="148">
        <f>+IF(OR(TB_Cockpit_2026[[#This Row],[SPRINT]]="",TB_Cockpit_2026[[#This Row],[SPRINT]]=0),"",TB_Cockpit_2026[[#This Row],[Dt. INÍCIO]]+(TB_Cockpit_2026[[#This Row],[SPRINT]]*15))</f>
        <v>46147</v>
      </c>
      <c r="R3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2" s="150">
        <v>0.5</v>
      </c>
      <c r="T3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3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3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2" s="43">
        <v>3</v>
      </c>
      <c r="AH32" s="17">
        <v>2</v>
      </c>
      <c r="AI32" s="17">
        <v>4</v>
      </c>
      <c r="AJ32" s="17">
        <v>3</v>
      </c>
      <c r="AK32" s="18">
        <f>+(TB_Cockpit_2026[[#This Row],[Encantar os Clientes]]*$AH$10)+(TB_Cockpit_2026[[#This Row],[Capital com Foco]]*$AJ$10)+(TB_Cockpit_2026[[#This Row],[Alta Rentabilidade]]*$AI$10)+IF(TB_Cockpit_2026[[#This Row],[u]]="u",4,0)</f>
        <v>15</v>
      </c>
      <c r="AL32" s="19">
        <v>3</v>
      </c>
      <c r="AM32" s="20">
        <v>3</v>
      </c>
      <c r="AN32" s="20">
        <v>1</v>
      </c>
      <c r="AO32" s="20">
        <v>4</v>
      </c>
      <c r="AP32" s="20">
        <v>1</v>
      </c>
      <c r="AQ32" s="21">
        <f>SUM(TB_Cockpit_2026[[#This Row],[K1]:[K5]])</f>
        <v>12</v>
      </c>
      <c r="AR32" s="27">
        <f>+TB_Cockpit_2026[[#This Row],[Relev.]]+TB_Cockpit_2026[[#This Row],[SCORE]]</f>
        <v>27</v>
      </c>
      <c r="AS3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32" s="39"/>
    </row>
    <row r="33" spans="2:46" ht="17.45">
      <c r="B33" s="139" t="s">
        <v>111</v>
      </c>
      <c r="C33" s="140" t="s">
        <v>18</v>
      </c>
      <c r="D33" s="141">
        <v>1</v>
      </c>
      <c r="E33" s="181" t="s">
        <v>112</v>
      </c>
      <c r="F33" s="142" t="s">
        <v>0</v>
      </c>
      <c r="G33" s="143" t="s">
        <v>64</v>
      </c>
      <c r="H33" s="142" t="s">
        <v>65</v>
      </c>
      <c r="I33" s="144" t="s">
        <v>66</v>
      </c>
      <c r="J33" s="144" t="s">
        <v>67</v>
      </c>
      <c r="K33" s="35">
        <v>0</v>
      </c>
      <c r="L33" s="145">
        <v>18000</v>
      </c>
      <c r="M33" s="35">
        <v>0</v>
      </c>
      <c r="N33" s="145">
        <v>5000</v>
      </c>
      <c r="O33" s="146">
        <v>10</v>
      </c>
      <c r="P33" s="147">
        <v>46024</v>
      </c>
      <c r="Q33" s="148">
        <f>+IF(OR(TB_Cockpit_2026[[#This Row],[SPRINT]]="",TB_Cockpit_2026[[#This Row],[SPRINT]]=0),"",TB_Cockpit_2026[[#This Row],[Dt. INÍCIO]]+(TB_Cockpit_2026[[#This Row],[SPRINT]]*15))</f>
        <v>46174</v>
      </c>
      <c r="R3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3" s="150">
        <v>0.3</v>
      </c>
      <c r="T3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3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3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3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3" s="43">
        <v>1</v>
      </c>
      <c r="AH33" s="17">
        <v>4</v>
      </c>
      <c r="AI33" s="17">
        <v>3</v>
      </c>
      <c r="AJ33" s="17">
        <v>4</v>
      </c>
      <c r="AK33" s="18">
        <f>+(TB_Cockpit_2026[[#This Row],[Encantar os Clientes]]*$AH$10)+(TB_Cockpit_2026[[#This Row],[Capital com Foco]]*$AJ$10)+(TB_Cockpit_2026[[#This Row],[Alta Rentabilidade]]*$AI$10)+IF(TB_Cockpit_2026[[#This Row],[u]]="u",4,0)</f>
        <v>19</v>
      </c>
      <c r="AL33" s="19">
        <v>4</v>
      </c>
      <c r="AM33" s="20">
        <v>1</v>
      </c>
      <c r="AN33" s="20">
        <v>3</v>
      </c>
      <c r="AO33" s="20">
        <v>4</v>
      </c>
      <c r="AP33" s="20">
        <v>4</v>
      </c>
      <c r="AQ33" s="21">
        <f>SUM(TB_Cockpit_2026[[#This Row],[K1]:[K5]])</f>
        <v>16</v>
      </c>
      <c r="AR33" s="27">
        <f>+TB_Cockpit_2026[[#This Row],[Relev.]]+TB_Cockpit_2026[[#This Row],[SCORE]]</f>
        <v>35</v>
      </c>
      <c r="AS3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33" s="39"/>
    </row>
    <row r="34" spans="2:46" ht="17.45">
      <c r="B34" s="139" t="s">
        <v>113</v>
      </c>
      <c r="C34" s="140" t="s">
        <v>18</v>
      </c>
      <c r="D34" s="141">
        <v>1</v>
      </c>
      <c r="E34" s="181" t="s">
        <v>114</v>
      </c>
      <c r="F34" s="142" t="s">
        <v>0</v>
      </c>
      <c r="G34" s="143" t="s">
        <v>75</v>
      </c>
      <c r="H34" s="142" t="s">
        <v>65</v>
      </c>
      <c r="I34" s="144" t="s">
        <v>66</v>
      </c>
      <c r="J34" s="144" t="s">
        <v>67</v>
      </c>
      <c r="K34" s="35">
        <v>0</v>
      </c>
      <c r="L34" s="145">
        <v>10000</v>
      </c>
      <c r="M34" s="35">
        <v>0</v>
      </c>
      <c r="N34" s="145">
        <v>12000</v>
      </c>
      <c r="O34" s="146">
        <v>6</v>
      </c>
      <c r="P34" s="147">
        <v>46027</v>
      </c>
      <c r="Q34" s="148">
        <f>+IF(OR(TB_Cockpit_2026[[#This Row],[SPRINT]]="",TB_Cockpit_2026[[#This Row],[SPRINT]]=0),"",TB_Cockpit_2026[[#This Row],[Dt. INÍCIO]]+(TB_Cockpit_2026[[#This Row],[SPRINT]]*15))</f>
        <v>46117</v>
      </c>
      <c r="R3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4" s="150">
        <v>0.6</v>
      </c>
      <c r="T3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3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4" s="43">
        <v>1</v>
      </c>
      <c r="AH34" s="17">
        <v>4</v>
      </c>
      <c r="AI34" s="17">
        <v>4</v>
      </c>
      <c r="AJ34" s="17">
        <v>4</v>
      </c>
      <c r="AK34" s="18">
        <f>+(TB_Cockpit_2026[[#This Row],[Encantar os Clientes]]*$AH$10)+(TB_Cockpit_2026[[#This Row],[Capital com Foco]]*$AJ$10)+(TB_Cockpit_2026[[#This Row],[Alta Rentabilidade]]*$AI$10)+IF(TB_Cockpit_2026[[#This Row],[u]]="u",4,0)</f>
        <v>20</v>
      </c>
      <c r="AL34" s="19">
        <v>2</v>
      </c>
      <c r="AM34" s="20">
        <v>2</v>
      </c>
      <c r="AN34" s="20">
        <v>2</v>
      </c>
      <c r="AO34" s="20">
        <v>2</v>
      </c>
      <c r="AP34" s="20">
        <v>2</v>
      </c>
      <c r="AQ34" s="21">
        <f>SUM(TB_Cockpit_2026[[#This Row],[K1]:[K5]])</f>
        <v>10</v>
      </c>
      <c r="AR34" s="27">
        <f>+TB_Cockpit_2026[[#This Row],[Relev.]]+TB_Cockpit_2026[[#This Row],[SCORE]]</f>
        <v>30</v>
      </c>
      <c r="AS3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34" s="39"/>
    </row>
    <row r="35" spans="2:46" ht="17.45">
      <c r="B35" s="139" t="s">
        <v>115</v>
      </c>
      <c r="C35" s="140"/>
      <c r="D35" s="141">
        <v>1</v>
      </c>
      <c r="E35" s="142" t="s">
        <v>116</v>
      </c>
      <c r="F35" s="142" t="s">
        <v>2</v>
      </c>
      <c r="G35" s="143" t="s">
        <v>75</v>
      </c>
      <c r="H35" s="142" t="s">
        <v>70</v>
      </c>
      <c r="I35" s="144" t="s">
        <v>66</v>
      </c>
      <c r="J35" s="144" t="s">
        <v>67</v>
      </c>
      <c r="K35" s="35">
        <v>0</v>
      </c>
      <c r="L35" s="145">
        <v>6000</v>
      </c>
      <c r="M35" s="35">
        <v>0</v>
      </c>
      <c r="N35" s="145">
        <v>3000</v>
      </c>
      <c r="O35" s="146">
        <v>4</v>
      </c>
      <c r="P35" s="147">
        <v>46240</v>
      </c>
      <c r="Q35" s="148">
        <f>+IF(OR(TB_Cockpit_2026[[#This Row],[SPRINT]]="",TB_Cockpit_2026[[#This Row],[SPRINT]]=0),"",TB_Cockpit_2026[[#This Row],[Dt. INÍCIO]]+(TB_Cockpit_2026[[#This Row],[SPRINT]]*15))</f>
        <v>46300</v>
      </c>
      <c r="R3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5" s="150"/>
      <c r="T3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3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3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3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3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3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3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3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5" s="43">
        <v>1</v>
      </c>
      <c r="AH35" s="17">
        <v>1</v>
      </c>
      <c r="AI35" s="17">
        <v>1</v>
      </c>
      <c r="AJ35" s="17">
        <v>1</v>
      </c>
      <c r="AK35" s="18">
        <f>+(TB_Cockpit_2026[[#This Row],[Encantar os Clientes]]*$AH$10)+(TB_Cockpit_2026[[#This Row],[Capital com Foco]]*$AJ$10)+(TB_Cockpit_2026[[#This Row],[Alta Rentabilidade]]*$AI$10)+IF(TB_Cockpit_2026[[#This Row],[u]]="u",4,0)</f>
        <v>4</v>
      </c>
      <c r="AL35" s="19">
        <v>1</v>
      </c>
      <c r="AM35" s="20">
        <v>1</v>
      </c>
      <c r="AN35" s="20">
        <v>1</v>
      </c>
      <c r="AO35" s="20">
        <v>3</v>
      </c>
      <c r="AP35" s="20">
        <v>1</v>
      </c>
      <c r="AQ35" s="21">
        <f>SUM(TB_Cockpit_2026[[#This Row],[K1]:[K5]])</f>
        <v>7</v>
      </c>
      <c r="AR35" s="27">
        <f>+TB_Cockpit_2026[[#This Row],[Relev.]]+TB_Cockpit_2026[[#This Row],[SCORE]]</f>
        <v>11</v>
      </c>
      <c r="AS3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35" s="39"/>
    </row>
    <row r="36" spans="2:46" ht="17.45">
      <c r="B36" s="139" t="s">
        <v>117</v>
      </c>
      <c r="C36" s="140"/>
      <c r="D36" s="141">
        <v>1</v>
      </c>
      <c r="E36" s="181" t="s">
        <v>118</v>
      </c>
      <c r="F36" s="142" t="s">
        <v>0</v>
      </c>
      <c r="G36" s="143" t="s">
        <v>75</v>
      </c>
      <c r="H36" s="142" t="s">
        <v>65</v>
      </c>
      <c r="I36" s="144" t="s">
        <v>66</v>
      </c>
      <c r="J36" s="144" t="s">
        <v>67</v>
      </c>
      <c r="K36" s="35">
        <v>0</v>
      </c>
      <c r="L36" s="145">
        <v>10000</v>
      </c>
      <c r="M36" s="35">
        <v>0</v>
      </c>
      <c r="N36" s="145">
        <v>3000</v>
      </c>
      <c r="O36" s="146">
        <v>5</v>
      </c>
      <c r="P36" s="147">
        <v>46083</v>
      </c>
      <c r="Q36" s="148">
        <f>+IF(OR(TB_Cockpit_2026[[#This Row],[SPRINT]]="",TB_Cockpit_2026[[#This Row],[SPRINT]]=0),"",TB_Cockpit_2026[[#This Row],[Dt. INÍCIO]]+(TB_Cockpit_2026[[#This Row],[SPRINT]]*15))</f>
        <v>46158</v>
      </c>
      <c r="R3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6" s="150"/>
      <c r="T3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3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3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3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3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6" s="43">
        <v>1</v>
      </c>
      <c r="AH36" s="17">
        <v>4</v>
      </c>
      <c r="AI36" s="17">
        <v>2</v>
      </c>
      <c r="AJ36" s="17">
        <v>3</v>
      </c>
      <c r="AK36" s="18">
        <f>+(TB_Cockpit_2026[[#This Row],[Encantar os Clientes]]*$AH$10)+(TB_Cockpit_2026[[#This Row],[Capital com Foco]]*$AJ$10)+(TB_Cockpit_2026[[#This Row],[Alta Rentabilidade]]*$AI$10)+IF(TB_Cockpit_2026[[#This Row],[u]]="u",4,0)</f>
        <v>13</v>
      </c>
      <c r="AL36" s="19">
        <v>4</v>
      </c>
      <c r="AM36" s="20">
        <v>0</v>
      </c>
      <c r="AN36" s="20">
        <v>2</v>
      </c>
      <c r="AO36" s="20">
        <v>2</v>
      </c>
      <c r="AP36" s="20">
        <v>3</v>
      </c>
      <c r="AQ36" s="21">
        <f>SUM(TB_Cockpit_2026[[#This Row],[K1]:[K5]])</f>
        <v>11</v>
      </c>
      <c r="AR36" s="27">
        <f>+TB_Cockpit_2026[[#This Row],[Relev.]]+TB_Cockpit_2026[[#This Row],[SCORE]]</f>
        <v>24</v>
      </c>
      <c r="AS3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36" s="39"/>
    </row>
    <row r="37" spans="2:46" ht="17.45" hidden="1">
      <c r="B37" s="139" t="s">
        <v>119</v>
      </c>
      <c r="C37" s="140" t="s">
        <v>18</v>
      </c>
      <c r="D37" s="141">
        <v>1</v>
      </c>
      <c r="E37" s="181" t="s">
        <v>120</v>
      </c>
      <c r="F37" s="142" t="s">
        <v>0</v>
      </c>
      <c r="G37" s="143" t="s">
        <v>75</v>
      </c>
      <c r="H37" s="142" t="s">
        <v>70</v>
      </c>
      <c r="I37" s="152" t="s">
        <v>66</v>
      </c>
      <c r="J37" s="144" t="s">
        <v>67</v>
      </c>
      <c r="K37" s="35">
        <v>0</v>
      </c>
      <c r="L37" s="145">
        <f>+IF(K37=0,0,IF(K37=1,Apoio!$H$2,IF(K37=2,Apoio!$H$3,IF(K37=3,Apoio!$H$4,IF(K37=4,Apoio!$H$5,0)))))</f>
        <v>0</v>
      </c>
      <c r="M37" s="35">
        <v>0</v>
      </c>
      <c r="N37" s="145">
        <f>+IF(M37=0,0,IF(M37=1,Apoio!$L$2,IF(M37=2,Apoio!$L$3,IF(M37=3,Apoio!$L$4,IF(M37=4,Apoio!$L$5,0)))))</f>
        <v>0</v>
      </c>
      <c r="O37" s="146">
        <v>5</v>
      </c>
      <c r="P37" s="147">
        <v>46023</v>
      </c>
      <c r="Q37" s="148">
        <f>+IF(OR(TB_Cockpit_2026[[#This Row],[SPRINT]]="",TB_Cockpit_2026[[#This Row],[SPRINT]]=0),"",TB_Cockpit_2026[[#This Row],[Dt. INÍCIO]]+(TB_Cockpit_2026[[#This Row],[SPRINT]]*15))</f>
        <v>46098</v>
      </c>
      <c r="R3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7" s="150">
        <v>0.1</v>
      </c>
      <c r="T3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7" s="128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7" s="128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7" s="128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3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3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7" s="128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7" s="128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7" s="128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7" s="128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7" s="128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7" s="128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7" s="129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7" s="43">
        <v>0</v>
      </c>
      <c r="AH37" s="35">
        <v>3</v>
      </c>
      <c r="AI37" s="35">
        <v>3</v>
      </c>
      <c r="AJ37" s="35">
        <v>3</v>
      </c>
      <c r="AK37" s="130">
        <f>+(TB_Cockpit_2026[[#This Row],[Encantar os Clientes]]*$AH$10)+(TB_Cockpit_2026[[#This Row],[Capital com Foco]]*$AJ$10)+(TB_Cockpit_2026[[#This Row],[Alta Rentabilidade]]*$AI$10)+IF(TB_Cockpit_2026[[#This Row],[u]]="u",4,0)</f>
        <v>16</v>
      </c>
      <c r="AL37" s="131">
        <v>3</v>
      </c>
      <c r="AM37" s="35">
        <v>3</v>
      </c>
      <c r="AN37" s="35">
        <v>3</v>
      </c>
      <c r="AO37" s="35">
        <v>3</v>
      </c>
      <c r="AP37" s="35">
        <v>3</v>
      </c>
      <c r="AQ37" s="21">
        <f>SUM(TB_Cockpit_2026[[#This Row],[K1]:[K5]])</f>
        <v>15</v>
      </c>
      <c r="AR37" s="27">
        <f>+TB_Cockpit_2026[[#This Row],[Relev.]]+TB_Cockpit_2026[[#This Row],[SCORE]]</f>
        <v>31</v>
      </c>
      <c r="AS3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37" s="39"/>
    </row>
    <row r="38" spans="2:46" ht="17.45">
      <c r="B38" s="139" t="s">
        <v>121</v>
      </c>
      <c r="C38" s="140"/>
      <c r="D38" s="141">
        <v>1</v>
      </c>
      <c r="E38" s="142" t="s">
        <v>122</v>
      </c>
      <c r="F38" s="142" t="s">
        <v>2</v>
      </c>
      <c r="G38" s="143" t="s">
        <v>75</v>
      </c>
      <c r="H38" s="142" t="s">
        <v>65</v>
      </c>
      <c r="I38" s="144" t="s">
        <v>66</v>
      </c>
      <c r="J38" s="144" t="s">
        <v>67</v>
      </c>
      <c r="K38" s="35">
        <v>0</v>
      </c>
      <c r="L38" s="145">
        <v>8000</v>
      </c>
      <c r="M38" s="35">
        <v>0</v>
      </c>
      <c r="N38" s="145">
        <v>2000</v>
      </c>
      <c r="O38" s="146">
        <v>6</v>
      </c>
      <c r="P38" s="147">
        <v>46240</v>
      </c>
      <c r="Q38" s="148">
        <f>+IF(OR(TB_Cockpit_2026[[#This Row],[SPRINT]]="",TB_Cockpit_2026[[#This Row],[SPRINT]]=0),"",TB_Cockpit_2026[[#This Row],[Dt. INÍCIO]]+(TB_Cockpit_2026[[#This Row],[SPRINT]]*15))</f>
        <v>46330</v>
      </c>
      <c r="R3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8" s="150"/>
      <c r="T3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3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3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3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3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3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3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3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3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8" s="43">
        <v>1</v>
      </c>
      <c r="AH38" s="17">
        <v>1</v>
      </c>
      <c r="AI38" s="17">
        <v>2</v>
      </c>
      <c r="AJ38" s="17">
        <v>1</v>
      </c>
      <c r="AK38" s="18">
        <f>+(TB_Cockpit_2026[[#This Row],[Encantar os Clientes]]*$AH$10)+(TB_Cockpit_2026[[#This Row],[Capital com Foco]]*$AJ$10)+(TB_Cockpit_2026[[#This Row],[Alta Rentabilidade]]*$AI$10)+IF(TB_Cockpit_2026[[#This Row],[u]]="u",4,0)</f>
        <v>5</v>
      </c>
      <c r="AL38" s="19">
        <v>0</v>
      </c>
      <c r="AM38" s="20">
        <v>0</v>
      </c>
      <c r="AN38" s="20">
        <v>0</v>
      </c>
      <c r="AO38" s="20">
        <v>3</v>
      </c>
      <c r="AP38" s="20">
        <v>0</v>
      </c>
      <c r="AQ38" s="21">
        <f>SUM(TB_Cockpit_2026[[#This Row],[K1]:[K5]])</f>
        <v>3</v>
      </c>
      <c r="AR38" s="27">
        <f>+TB_Cockpit_2026[[#This Row],[Relev.]]+TB_Cockpit_2026[[#This Row],[SCORE]]</f>
        <v>8</v>
      </c>
      <c r="AS3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38" s="39"/>
    </row>
    <row r="39" spans="2:46" ht="17.45">
      <c r="B39" s="139" t="s">
        <v>123</v>
      </c>
      <c r="C39" s="140"/>
      <c r="D39" s="141">
        <v>1</v>
      </c>
      <c r="E39" s="181" t="s">
        <v>124</v>
      </c>
      <c r="F39" s="142" t="s">
        <v>0</v>
      </c>
      <c r="G39" s="143" t="s">
        <v>75</v>
      </c>
      <c r="H39" s="142" t="s">
        <v>125</v>
      </c>
      <c r="I39" s="144" t="s">
        <v>126</v>
      </c>
      <c r="J39" s="144" t="s">
        <v>127</v>
      </c>
      <c r="K39" s="35">
        <v>0</v>
      </c>
      <c r="L39" s="145">
        <v>15000</v>
      </c>
      <c r="M39" s="35">
        <v>0</v>
      </c>
      <c r="N39" s="145">
        <v>3000</v>
      </c>
      <c r="O39" s="146">
        <v>2</v>
      </c>
      <c r="P39" s="147">
        <v>46027</v>
      </c>
      <c r="Q39" s="148">
        <f>+IF(OR(TB_Cockpit_2026[[#This Row],[SPRINT]]="",TB_Cockpit_2026[[#This Row],[SPRINT]]=0),"",TB_Cockpit_2026[[#This Row],[Dt. INÍCIO]]+(TB_Cockpit_2026[[#This Row],[SPRINT]]*15))</f>
        <v>46057</v>
      </c>
      <c r="R3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39" s="150"/>
      <c r="T3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3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3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3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3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3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3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3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3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3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3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3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3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39" s="43">
        <v>1</v>
      </c>
      <c r="AH39" s="17">
        <v>4</v>
      </c>
      <c r="AI39" s="17">
        <v>3</v>
      </c>
      <c r="AJ39" s="17">
        <v>3</v>
      </c>
      <c r="AK39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39" s="19">
        <v>2</v>
      </c>
      <c r="AM39" s="20">
        <v>0</v>
      </c>
      <c r="AN39" s="20">
        <v>3</v>
      </c>
      <c r="AO39" s="20">
        <v>1</v>
      </c>
      <c r="AP39" s="20">
        <v>4</v>
      </c>
      <c r="AQ39" s="21">
        <f>SUM(TB_Cockpit_2026[[#This Row],[K1]:[K5]])</f>
        <v>10</v>
      </c>
      <c r="AR39" s="27">
        <f>+TB_Cockpit_2026[[#This Row],[Relev.]]+TB_Cockpit_2026[[#This Row],[SCORE]]</f>
        <v>24</v>
      </c>
      <c r="AS3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39" s="39"/>
    </row>
    <row r="40" spans="2:46" ht="17.45">
      <c r="B40" s="139" t="s">
        <v>128</v>
      </c>
      <c r="C40" s="140" t="s">
        <v>18</v>
      </c>
      <c r="D40" s="141">
        <v>1</v>
      </c>
      <c r="E40" s="142" t="s">
        <v>129</v>
      </c>
      <c r="F40" s="142" t="s">
        <v>0</v>
      </c>
      <c r="G40" s="143" t="s">
        <v>75</v>
      </c>
      <c r="H40" s="142" t="s">
        <v>70</v>
      </c>
      <c r="I40" s="144" t="s">
        <v>126</v>
      </c>
      <c r="J40" s="144" t="s">
        <v>127</v>
      </c>
      <c r="K40" s="35">
        <v>0</v>
      </c>
      <c r="L40" s="145">
        <v>15000</v>
      </c>
      <c r="M40" s="35">
        <v>0</v>
      </c>
      <c r="N40" s="145">
        <v>3000</v>
      </c>
      <c r="O40" s="146">
        <v>8</v>
      </c>
      <c r="P40" s="147">
        <v>46027</v>
      </c>
      <c r="Q40" s="148">
        <f>+IF(OR(TB_Cockpit_2026[[#This Row],[SPRINT]]="",TB_Cockpit_2026[[#This Row],[SPRINT]]=0),"",TB_Cockpit_2026[[#This Row],[Dt. INÍCIO]]+(TB_Cockpit_2026[[#This Row],[SPRINT]]*15))</f>
        <v>46147</v>
      </c>
      <c r="R4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0" s="150"/>
      <c r="T4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4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4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4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4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4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4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4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4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40" s="43">
        <v>1</v>
      </c>
      <c r="AH40" s="17">
        <v>4</v>
      </c>
      <c r="AI40" s="17">
        <v>2</v>
      </c>
      <c r="AJ40" s="17">
        <v>2</v>
      </c>
      <c r="AK40" s="18">
        <f>+(TB_Cockpit_2026[[#This Row],[Encantar os Clientes]]*$AH$10)+(TB_Cockpit_2026[[#This Row],[Capital com Foco]]*$AJ$10)+(TB_Cockpit_2026[[#This Row],[Alta Rentabilidade]]*$AI$10)+IF(TB_Cockpit_2026[[#This Row],[u]]="u",4,0)</f>
        <v>16</v>
      </c>
      <c r="AL40" s="19">
        <v>2</v>
      </c>
      <c r="AM40" s="20">
        <v>3</v>
      </c>
      <c r="AN40" s="20">
        <v>2</v>
      </c>
      <c r="AO40" s="20">
        <v>2</v>
      </c>
      <c r="AP40" s="20">
        <v>2</v>
      </c>
      <c r="AQ40" s="21">
        <f>SUM(TB_Cockpit_2026[[#This Row],[K1]:[K5]])</f>
        <v>11</v>
      </c>
      <c r="AR40" s="27">
        <f>+TB_Cockpit_2026[[#This Row],[Relev.]]+TB_Cockpit_2026[[#This Row],[SCORE]]</f>
        <v>27</v>
      </c>
      <c r="AS4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40" s="39"/>
    </row>
    <row r="41" spans="2:46" ht="17.45" hidden="1">
      <c r="B41" s="139" t="s">
        <v>130</v>
      </c>
      <c r="C41" s="140"/>
      <c r="D41" s="141">
        <v>1</v>
      </c>
      <c r="E41" s="142" t="s">
        <v>131</v>
      </c>
      <c r="F41" s="142" t="s">
        <v>0</v>
      </c>
      <c r="G41" s="143" t="s">
        <v>75</v>
      </c>
      <c r="H41" s="142" t="s">
        <v>125</v>
      </c>
      <c r="I41" s="144" t="s">
        <v>126</v>
      </c>
      <c r="J41" s="144" t="s">
        <v>127</v>
      </c>
      <c r="K41" s="35">
        <v>0</v>
      </c>
      <c r="L41" s="145">
        <f>+IF(K41=0,0,IF(K41=1,Apoio!$H$2,IF(K41=2,Apoio!$H$3,IF(K41=3,Apoio!$H$4,IF(K41=4,Apoio!$H$5,0)))))</f>
        <v>0</v>
      </c>
      <c r="M41" s="35">
        <v>0</v>
      </c>
      <c r="N41" s="145">
        <f>+IF(M41=0,0,IF(M41=1,Apoio!$L$2,IF(M41=2,Apoio!$L$3,IF(M41=3,Apoio!$L$4,IF(M41=4,Apoio!$L$5,0)))))</f>
        <v>0</v>
      </c>
      <c r="O41" s="146">
        <v>4</v>
      </c>
      <c r="P41" s="147">
        <v>46055</v>
      </c>
      <c r="Q41" s="148">
        <f>+IF(OR(TB_Cockpit_2026[[#This Row],[SPRINT]]="",TB_Cockpit_2026[[#This Row],[SPRINT]]=0),"",TB_Cockpit_2026[[#This Row],[Dt. INÍCIO]]+(TB_Cockpit_2026[[#This Row],[SPRINT]]*15))</f>
        <v>46115</v>
      </c>
      <c r="R4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1" s="150"/>
      <c r="T4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1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1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41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1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1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41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41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41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41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41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41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41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41" s="43">
        <v>2</v>
      </c>
      <c r="AH41" s="17">
        <v>2</v>
      </c>
      <c r="AI41" s="17">
        <v>4</v>
      </c>
      <c r="AJ41" s="17">
        <v>4</v>
      </c>
      <c r="AK41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41" s="19">
        <v>4</v>
      </c>
      <c r="AM41" s="20">
        <v>0</v>
      </c>
      <c r="AN41" s="20">
        <v>2</v>
      </c>
      <c r="AO41" s="20">
        <v>1</v>
      </c>
      <c r="AP41" s="20">
        <v>2</v>
      </c>
      <c r="AQ41" s="21">
        <f>SUM(TB_Cockpit_2026[[#This Row],[K1]:[K5]])</f>
        <v>9</v>
      </c>
      <c r="AR41" s="27">
        <f>+TB_Cockpit_2026[[#This Row],[Relev.]]+TB_Cockpit_2026[[#This Row],[SCORE]]</f>
        <v>21</v>
      </c>
      <c r="AS4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41" s="39"/>
    </row>
    <row r="42" spans="2:46" ht="17.45" hidden="1">
      <c r="B42" s="139" t="s">
        <v>132</v>
      </c>
      <c r="C42" s="140"/>
      <c r="D42" s="141">
        <v>1</v>
      </c>
      <c r="E42" s="142" t="s">
        <v>133</v>
      </c>
      <c r="F42" s="142" t="s">
        <v>0</v>
      </c>
      <c r="G42" s="143" t="s">
        <v>64</v>
      </c>
      <c r="H42" s="142" t="s">
        <v>125</v>
      </c>
      <c r="I42" s="144" t="s">
        <v>134</v>
      </c>
      <c r="J42" s="144" t="s">
        <v>135</v>
      </c>
      <c r="K42" s="35">
        <v>0</v>
      </c>
      <c r="L42" s="145">
        <f>+IF(K42=0,0,IF(K42=1,Apoio!$H$2,IF(K42=2,Apoio!$H$3,IF(K42=3,Apoio!$H$4,IF(K42=4,Apoio!$H$5,0)))))</f>
        <v>0</v>
      </c>
      <c r="M42" s="35">
        <v>0</v>
      </c>
      <c r="N42" s="153">
        <v>2150000</v>
      </c>
      <c r="O42" s="146">
        <v>19</v>
      </c>
      <c r="P42" s="147">
        <v>46082</v>
      </c>
      <c r="Q42" s="148">
        <f>+IF(OR(TB_Cockpit_2026[[#This Row],[SPRINT]]="",TB_Cockpit_2026[[#This Row],[SPRINT]]=0),"",TB_Cockpit_2026[[#This Row],[Dt. INÍCIO]]+(TB_Cockpit_2026[[#This Row],[SPRINT]]*15))</f>
        <v>46367</v>
      </c>
      <c r="R4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2" s="150"/>
      <c r="T4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4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4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42" s="120">
        <v>3</v>
      </c>
      <c r="AH42" s="17">
        <v>4</v>
      </c>
      <c r="AI42" s="17">
        <v>3</v>
      </c>
      <c r="AJ42" s="17">
        <v>3</v>
      </c>
      <c r="AK42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42" s="19">
        <v>4</v>
      </c>
      <c r="AM42" s="20">
        <v>4</v>
      </c>
      <c r="AN42" s="20">
        <v>4</v>
      </c>
      <c r="AO42" s="20">
        <v>4</v>
      </c>
      <c r="AP42" s="20">
        <v>4</v>
      </c>
      <c r="AQ42" s="21">
        <f>SUM(TB_Cockpit_2026[[#This Row],[K1]:[K5]])</f>
        <v>20</v>
      </c>
      <c r="AR42" s="27">
        <f>+TB_Cockpit_2026[[#This Row],[Relev.]]+TB_Cockpit_2026[[#This Row],[SCORE]]</f>
        <v>34</v>
      </c>
      <c r="AS4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42" s="39"/>
    </row>
    <row r="43" spans="2:46" ht="17.45">
      <c r="B43" s="139" t="s">
        <v>136</v>
      </c>
      <c r="C43" s="140"/>
      <c r="D43" s="141">
        <v>1</v>
      </c>
      <c r="E43" s="142" t="s">
        <v>137</v>
      </c>
      <c r="F43" s="142" t="s">
        <v>2</v>
      </c>
      <c r="G43" s="143" t="s">
        <v>64</v>
      </c>
      <c r="H43" s="142" t="s">
        <v>70</v>
      </c>
      <c r="I43" s="144" t="s">
        <v>134</v>
      </c>
      <c r="J43" s="144" t="s">
        <v>138</v>
      </c>
      <c r="K43" s="35">
        <v>0</v>
      </c>
      <c r="L43" s="153">
        <v>3000</v>
      </c>
      <c r="M43" s="35">
        <v>0</v>
      </c>
      <c r="N43" s="153">
        <v>36000</v>
      </c>
      <c r="O43" s="146">
        <v>19</v>
      </c>
      <c r="P43" s="147">
        <v>46027</v>
      </c>
      <c r="Q43" s="148">
        <f>+IF(OR(TB_Cockpit_2026[[#This Row],[SPRINT]]="",TB_Cockpit_2026[[#This Row],[SPRINT]]=0),"",TB_Cockpit_2026[[#This Row],[Dt. INÍCIO]]+(TB_Cockpit_2026[[#This Row],[SPRINT]]*15))</f>
        <v>46312</v>
      </c>
      <c r="R4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3" s="150"/>
      <c r="T4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4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4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4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43" s="120">
        <v>0</v>
      </c>
      <c r="AH43" s="17">
        <v>0</v>
      </c>
      <c r="AI43" s="17">
        <v>0</v>
      </c>
      <c r="AJ43" s="17">
        <v>0</v>
      </c>
      <c r="AK43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43" s="19">
        <v>0</v>
      </c>
      <c r="AM43" s="20">
        <v>0</v>
      </c>
      <c r="AN43" s="20">
        <v>0</v>
      </c>
      <c r="AO43" s="20">
        <v>4</v>
      </c>
      <c r="AP43" s="20">
        <v>0</v>
      </c>
      <c r="AQ43" s="21">
        <f>SUM(TB_Cockpit_2026[[#This Row],[K1]:[K5]])</f>
        <v>4</v>
      </c>
      <c r="AR43" s="27">
        <f>+TB_Cockpit_2026[[#This Row],[Relev.]]+TB_Cockpit_2026[[#This Row],[SCORE]]</f>
        <v>4</v>
      </c>
      <c r="AS4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3" s="39"/>
    </row>
    <row r="44" spans="2:46" ht="17.45">
      <c r="B44" s="139" t="s">
        <v>139</v>
      </c>
      <c r="C44" s="140"/>
      <c r="D44" s="141">
        <v>1</v>
      </c>
      <c r="E44" s="142" t="s">
        <v>140</v>
      </c>
      <c r="F44" s="142" t="s">
        <v>0</v>
      </c>
      <c r="G44" s="143" t="s">
        <v>64</v>
      </c>
      <c r="H44" s="142" t="s">
        <v>70</v>
      </c>
      <c r="I44" s="144" t="s">
        <v>134</v>
      </c>
      <c r="J44" s="144" t="s">
        <v>138</v>
      </c>
      <c r="K44" s="35">
        <v>0</v>
      </c>
      <c r="L44" s="153">
        <v>7000</v>
      </c>
      <c r="M44" s="35">
        <v>0</v>
      </c>
      <c r="N44" s="153">
        <v>2000</v>
      </c>
      <c r="O44" s="146">
        <v>3</v>
      </c>
      <c r="P44" s="147">
        <v>46082</v>
      </c>
      <c r="Q44" s="148">
        <f>+IF(OR(TB_Cockpit_2026[[#This Row],[SPRINT]]="",TB_Cockpit_2026[[#This Row],[SPRINT]]=0),"",TB_Cockpit_2026[[#This Row],[Dt. INÍCIO]]+(TB_Cockpit_2026[[#This Row],[SPRINT]]*15))</f>
        <v>46127</v>
      </c>
      <c r="R4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4" s="150"/>
      <c r="T4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4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4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4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4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4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4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4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4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44" s="120">
        <v>0</v>
      </c>
      <c r="AH44" s="17">
        <v>0</v>
      </c>
      <c r="AI44" s="17">
        <v>0</v>
      </c>
      <c r="AJ44" s="17">
        <v>0</v>
      </c>
      <c r="AK44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44" s="19">
        <v>0</v>
      </c>
      <c r="AM44" s="20">
        <v>0</v>
      </c>
      <c r="AN44" s="20">
        <v>0</v>
      </c>
      <c r="AO44" s="20">
        <v>0</v>
      </c>
      <c r="AP44" s="20">
        <v>0</v>
      </c>
      <c r="AQ44" s="21">
        <f>SUM(TB_Cockpit_2026[[#This Row],[K1]:[K5]])</f>
        <v>0</v>
      </c>
      <c r="AR44" s="27">
        <f>+TB_Cockpit_2026[[#This Row],[Relev.]]+TB_Cockpit_2026[[#This Row],[SCORE]]</f>
        <v>0</v>
      </c>
      <c r="AS4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4" s="39"/>
    </row>
    <row r="45" spans="2:46" ht="17.45">
      <c r="B45" s="139" t="s">
        <v>141</v>
      </c>
      <c r="C45" s="140"/>
      <c r="D45" s="141">
        <v>1</v>
      </c>
      <c r="E45" s="142" t="s">
        <v>142</v>
      </c>
      <c r="F45" s="142" t="s">
        <v>2</v>
      </c>
      <c r="G45" s="143" t="s">
        <v>64</v>
      </c>
      <c r="H45" s="142" t="s">
        <v>76</v>
      </c>
      <c r="I45" s="144" t="s">
        <v>134</v>
      </c>
      <c r="J45" s="144" t="s">
        <v>135</v>
      </c>
      <c r="K45" s="35">
        <v>0</v>
      </c>
      <c r="L45" s="153">
        <v>10000</v>
      </c>
      <c r="M45" s="35">
        <v>0</v>
      </c>
      <c r="N45" s="153">
        <v>12000</v>
      </c>
      <c r="O45" s="146">
        <v>4</v>
      </c>
      <c r="P45" s="147">
        <v>46027</v>
      </c>
      <c r="Q45" s="148">
        <f>+IF(OR(TB_Cockpit_2026[[#This Row],[SPRINT]]="",TB_Cockpit_2026[[#This Row],[SPRINT]]=0),"",TB_Cockpit_2026[[#This Row],[Dt. INÍCIO]]+(TB_Cockpit_2026[[#This Row],[SPRINT]]*15))</f>
        <v>46087</v>
      </c>
      <c r="R4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5" s="150"/>
      <c r="T4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4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4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4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4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4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4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4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4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4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4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45" s="120">
        <v>0</v>
      </c>
      <c r="AH45" s="17">
        <v>0</v>
      </c>
      <c r="AI45" s="17">
        <v>0</v>
      </c>
      <c r="AJ45" s="17">
        <v>0</v>
      </c>
      <c r="AK45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45" s="19">
        <v>3</v>
      </c>
      <c r="AM45" s="20">
        <v>3</v>
      </c>
      <c r="AN45" s="20">
        <v>3</v>
      </c>
      <c r="AO45" s="20">
        <v>4</v>
      </c>
      <c r="AP45" s="20">
        <v>0</v>
      </c>
      <c r="AQ45" s="21">
        <f>SUM(TB_Cockpit_2026[[#This Row],[K1]:[K5]])</f>
        <v>13</v>
      </c>
      <c r="AR45" s="27">
        <f>+TB_Cockpit_2026[[#This Row],[Relev.]]+TB_Cockpit_2026[[#This Row],[SCORE]]</f>
        <v>13</v>
      </c>
      <c r="AS4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45" s="39"/>
    </row>
    <row r="46" spans="2:46" ht="17.45" hidden="1">
      <c r="B46" s="139" t="s">
        <v>143</v>
      </c>
      <c r="C46" s="140"/>
      <c r="D46" s="141">
        <v>1</v>
      </c>
      <c r="E46" s="142" t="s">
        <v>144</v>
      </c>
      <c r="F46" s="142" t="s">
        <v>0</v>
      </c>
      <c r="G46" s="143" t="s">
        <v>64</v>
      </c>
      <c r="H46" s="142" t="s">
        <v>125</v>
      </c>
      <c r="I46" s="152" t="s">
        <v>134</v>
      </c>
      <c r="J46" s="144" t="s">
        <v>138</v>
      </c>
      <c r="K46" s="35">
        <v>0</v>
      </c>
      <c r="L46" s="145">
        <f>+IF(K46=0,0,IF(K46=1,Apoio!$H$2,IF(K46=2,Apoio!$H$3,IF(K46=3,Apoio!$H$4,IF(K46=4,Apoio!$H$5,0)))))</f>
        <v>0</v>
      </c>
      <c r="M46" s="35">
        <v>0</v>
      </c>
      <c r="N46" s="153">
        <v>800000</v>
      </c>
      <c r="O46" s="146">
        <v>19</v>
      </c>
      <c r="P46" s="147">
        <v>46082</v>
      </c>
      <c r="Q46" s="148">
        <f>+IF(OR(TB_Cockpit_2026[[#This Row],[SPRINT]]="",TB_Cockpit_2026[[#This Row],[SPRINT]]=0),"",TB_Cockpit_2026[[#This Row],[Dt. INÍCIO]]+(TB_Cockpit_2026[[#This Row],[SPRINT]]*15))</f>
        <v>46367</v>
      </c>
      <c r="R4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6" s="150"/>
      <c r="T4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4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4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46" s="120">
        <v>3</v>
      </c>
      <c r="AH46" s="17">
        <v>2</v>
      </c>
      <c r="AI46" s="17">
        <v>2</v>
      </c>
      <c r="AJ46" s="17">
        <v>2</v>
      </c>
      <c r="AK46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46" s="19">
        <v>1</v>
      </c>
      <c r="AM46" s="20">
        <v>1</v>
      </c>
      <c r="AN46" s="20">
        <v>1</v>
      </c>
      <c r="AO46" s="20">
        <v>1</v>
      </c>
      <c r="AP46" s="20">
        <v>1</v>
      </c>
      <c r="AQ46" s="21">
        <f>SUM(TB_Cockpit_2026[[#This Row],[K1]:[K5]])</f>
        <v>5</v>
      </c>
      <c r="AR46" s="27">
        <f>+TB_Cockpit_2026[[#This Row],[Relev.]]+TB_Cockpit_2026[[#This Row],[SCORE]]</f>
        <v>13</v>
      </c>
      <c r="AS4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6" s="39"/>
    </row>
    <row r="47" spans="2:46" ht="17.45" hidden="1">
      <c r="B47" s="139" t="s">
        <v>145</v>
      </c>
      <c r="C47" s="140"/>
      <c r="D47" s="141">
        <v>1</v>
      </c>
      <c r="E47" s="142" t="s">
        <v>146</v>
      </c>
      <c r="F47" s="142" t="s">
        <v>0</v>
      </c>
      <c r="G47" s="143" t="s">
        <v>64</v>
      </c>
      <c r="H47" s="142" t="s">
        <v>125</v>
      </c>
      <c r="I47" s="144" t="s">
        <v>134</v>
      </c>
      <c r="J47" s="144" t="s">
        <v>138</v>
      </c>
      <c r="K47" s="35">
        <v>0</v>
      </c>
      <c r="L47" s="145">
        <f>+IF(K47=0,0,IF(K47=1,Apoio!$H$2,IF(K47=2,Apoio!$H$3,IF(K47=3,Apoio!$H$4,IF(K47=4,Apoio!$H$5,0)))))</f>
        <v>0</v>
      </c>
      <c r="M47" s="35">
        <v>0</v>
      </c>
      <c r="N47" s="153">
        <v>1200000</v>
      </c>
      <c r="O47" s="146">
        <v>14</v>
      </c>
      <c r="P47" s="147">
        <v>46174</v>
      </c>
      <c r="Q47" s="148">
        <f>+IF(OR(TB_Cockpit_2026[[#This Row],[SPRINT]]="",TB_Cockpit_2026[[#This Row],[SPRINT]]=0),"",TB_Cockpit_2026[[#This Row],[Dt. INÍCIO]]+(TB_Cockpit_2026[[#This Row],[SPRINT]]*15))</f>
        <v>46384</v>
      </c>
      <c r="R4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7" s="150"/>
      <c r="T4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4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4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4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4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4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47" s="120">
        <v>2</v>
      </c>
      <c r="AH47" s="17">
        <v>1</v>
      </c>
      <c r="AI47" s="17">
        <v>2</v>
      </c>
      <c r="AJ47" s="17">
        <v>2</v>
      </c>
      <c r="AK47" s="18">
        <f>+(TB_Cockpit_2026[[#This Row],[Encantar os Clientes]]*$AH$10)+(TB_Cockpit_2026[[#This Row],[Capital com Foco]]*$AJ$10)+(TB_Cockpit_2026[[#This Row],[Alta Rentabilidade]]*$AI$10)+IF(TB_Cockpit_2026[[#This Row],[u]]="u",4,0)</f>
        <v>6</v>
      </c>
      <c r="AL47" s="19">
        <v>2</v>
      </c>
      <c r="AM47" s="20">
        <v>2</v>
      </c>
      <c r="AN47" s="20">
        <v>2</v>
      </c>
      <c r="AO47" s="20">
        <v>2</v>
      </c>
      <c r="AP47" s="20">
        <v>2</v>
      </c>
      <c r="AQ47" s="21">
        <f>SUM(TB_Cockpit_2026[[#This Row],[K1]:[K5]])</f>
        <v>10</v>
      </c>
      <c r="AR47" s="27">
        <f>+TB_Cockpit_2026[[#This Row],[Relev.]]+TB_Cockpit_2026[[#This Row],[SCORE]]</f>
        <v>16</v>
      </c>
      <c r="AS4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7" s="39"/>
    </row>
    <row r="48" spans="2:46" ht="17.45" hidden="1">
      <c r="B48" s="139" t="s">
        <v>147</v>
      </c>
      <c r="C48" s="140"/>
      <c r="D48" s="141">
        <v>1</v>
      </c>
      <c r="E48" s="142" t="s">
        <v>148</v>
      </c>
      <c r="F48" s="142" t="s">
        <v>0</v>
      </c>
      <c r="G48" s="143" t="s">
        <v>64</v>
      </c>
      <c r="H48" s="142" t="s">
        <v>125</v>
      </c>
      <c r="I48" s="144" t="s">
        <v>134</v>
      </c>
      <c r="J48" s="144" t="s">
        <v>138</v>
      </c>
      <c r="K48" s="35">
        <v>0</v>
      </c>
      <c r="L48" s="145">
        <f>+IF(K48=0,0,IF(K48=1,Apoio!$H$2,IF(K48=2,Apoio!$H$3,IF(K48=3,Apoio!$H$4,IF(K48=4,Apoio!$H$5,0)))))</f>
        <v>0</v>
      </c>
      <c r="M48" s="35">
        <v>0</v>
      </c>
      <c r="N48" s="153">
        <v>500000</v>
      </c>
      <c r="O48" s="146">
        <v>21</v>
      </c>
      <c r="P48" s="147">
        <v>46054</v>
      </c>
      <c r="Q48" s="148">
        <f>+IF(OR(TB_Cockpit_2026[[#This Row],[SPRINT]]="",TB_Cockpit_2026[[#This Row],[SPRINT]]=0),"",TB_Cockpit_2026[[#This Row],[Dt. INÍCIO]]+(TB_Cockpit_2026[[#This Row],[SPRINT]]*15))</f>
        <v>46369</v>
      </c>
      <c r="R4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8" s="150"/>
      <c r="T4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4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4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48" s="120">
        <v>0</v>
      </c>
      <c r="AH48" s="17">
        <v>4</v>
      </c>
      <c r="AI48" s="17">
        <v>1</v>
      </c>
      <c r="AJ48" s="17">
        <v>1</v>
      </c>
      <c r="AK48" s="18">
        <f>+(TB_Cockpit_2026[[#This Row],[Encantar os Clientes]]*$AH$10)+(TB_Cockpit_2026[[#This Row],[Capital com Foco]]*$AJ$10)+(TB_Cockpit_2026[[#This Row],[Alta Rentabilidade]]*$AI$10)+IF(TB_Cockpit_2026[[#This Row],[u]]="u",4,0)</f>
        <v>10</v>
      </c>
      <c r="AL48" s="19">
        <v>0</v>
      </c>
      <c r="AM48" s="20">
        <v>0</v>
      </c>
      <c r="AN48" s="20">
        <v>0</v>
      </c>
      <c r="AO48" s="20">
        <v>0</v>
      </c>
      <c r="AP48" s="20">
        <v>0</v>
      </c>
      <c r="AQ48" s="21">
        <f>SUM(TB_Cockpit_2026[[#This Row],[K1]:[K5]])</f>
        <v>0</v>
      </c>
      <c r="AR48" s="27">
        <f>+TB_Cockpit_2026[[#This Row],[Relev.]]+TB_Cockpit_2026[[#This Row],[SCORE]]</f>
        <v>10</v>
      </c>
      <c r="AS4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8" s="39"/>
    </row>
    <row r="49" spans="2:46" ht="17.45" hidden="1">
      <c r="B49" s="139" t="s">
        <v>149</v>
      </c>
      <c r="C49" s="140"/>
      <c r="D49" s="141">
        <v>1</v>
      </c>
      <c r="E49" s="142" t="s">
        <v>150</v>
      </c>
      <c r="F49" s="142" t="s">
        <v>0</v>
      </c>
      <c r="G49" s="143" t="s">
        <v>64</v>
      </c>
      <c r="H49" s="142" t="s">
        <v>70</v>
      </c>
      <c r="I49" s="144" t="s">
        <v>134</v>
      </c>
      <c r="J49" s="144" t="s">
        <v>138</v>
      </c>
      <c r="K49" s="35">
        <v>0</v>
      </c>
      <c r="L49" s="145">
        <f>+IF(K49=0,0,IF(K49=1,Apoio!$H$2,IF(K49=2,Apoio!$H$3,IF(K49=3,Apoio!$H$4,IF(K49=4,Apoio!$H$5,0)))))</f>
        <v>0</v>
      </c>
      <c r="M49" s="35">
        <v>0</v>
      </c>
      <c r="N49" s="153">
        <v>35000</v>
      </c>
      <c r="O49" s="146">
        <v>19</v>
      </c>
      <c r="P49" s="147">
        <v>46082</v>
      </c>
      <c r="Q49" s="148">
        <f>+IF(OR(TB_Cockpit_2026[[#This Row],[SPRINT]]="",TB_Cockpit_2026[[#This Row],[SPRINT]]=0),"",TB_Cockpit_2026[[#This Row],[Dt. INÍCIO]]+(TB_Cockpit_2026[[#This Row],[SPRINT]]*15))</f>
        <v>46367</v>
      </c>
      <c r="R4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49" s="150"/>
      <c r="T4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4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4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4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4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4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4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4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4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4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4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4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4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49" s="120">
        <v>0</v>
      </c>
      <c r="AH49" s="17">
        <v>0</v>
      </c>
      <c r="AI49" s="17">
        <v>0</v>
      </c>
      <c r="AJ49" s="17">
        <v>0</v>
      </c>
      <c r="AK49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49" s="19">
        <v>0</v>
      </c>
      <c r="AM49" s="20">
        <v>0</v>
      </c>
      <c r="AN49" s="20">
        <v>0</v>
      </c>
      <c r="AO49" s="20">
        <v>0</v>
      </c>
      <c r="AP49" s="20">
        <v>0</v>
      </c>
      <c r="AQ49" s="21">
        <f>SUM(TB_Cockpit_2026[[#This Row],[K1]:[K5]])</f>
        <v>0</v>
      </c>
      <c r="AR49" s="27">
        <f>+TB_Cockpit_2026[[#This Row],[Relev.]]+TB_Cockpit_2026[[#This Row],[SCORE]]</f>
        <v>0</v>
      </c>
      <c r="AS4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49" s="39"/>
    </row>
    <row r="50" spans="2:46" ht="17.45" hidden="1">
      <c r="B50" s="139" t="s">
        <v>151</v>
      </c>
      <c r="C50" s="140"/>
      <c r="D50" s="141">
        <v>1</v>
      </c>
      <c r="E50" s="142" t="s">
        <v>152</v>
      </c>
      <c r="F50" s="142" t="s">
        <v>0</v>
      </c>
      <c r="G50" s="143" t="s">
        <v>64</v>
      </c>
      <c r="H50" s="142" t="s">
        <v>70</v>
      </c>
      <c r="I50" s="144" t="s">
        <v>134</v>
      </c>
      <c r="J50" s="144" t="s">
        <v>138</v>
      </c>
      <c r="K50" s="35">
        <v>0</v>
      </c>
      <c r="L50" s="145">
        <f>+IF(K50=0,0,IF(K50=1,Apoio!$H$2,IF(K50=2,Apoio!$H$3,IF(K50=3,Apoio!$H$4,IF(K50=4,Apoio!$H$5,0)))))</f>
        <v>0</v>
      </c>
      <c r="M50" s="35">
        <v>0</v>
      </c>
      <c r="N50" s="145">
        <f>+IF(M50=0,0,IF(M50=1,Apoio!$L$2,IF(M50=2,Apoio!$L$3,IF(M50=3,Apoio!$L$4,IF(M50=4,Apoio!$L$5,0)))))</f>
        <v>0</v>
      </c>
      <c r="O50" s="146">
        <v>22</v>
      </c>
      <c r="P50" s="147">
        <v>46037</v>
      </c>
      <c r="Q50" s="148">
        <f>+IF(OR(TB_Cockpit_2026[[#This Row],[SPRINT]]="",TB_Cockpit_2026[[#This Row],[SPRINT]]=0),"",TB_Cockpit_2026[[#This Row],[Dt. INÍCIO]]+(TB_Cockpit_2026[[#This Row],[SPRINT]]*15))</f>
        <v>46367</v>
      </c>
      <c r="R5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0" s="150"/>
      <c r="T5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5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5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5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5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5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5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5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50" s="120">
        <v>0</v>
      </c>
      <c r="AH50" s="17">
        <v>4</v>
      </c>
      <c r="AI50" s="17">
        <v>2</v>
      </c>
      <c r="AJ50" s="17">
        <v>2</v>
      </c>
      <c r="AK50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50" s="19">
        <v>4</v>
      </c>
      <c r="AM50" s="20">
        <v>4</v>
      </c>
      <c r="AN50" s="20">
        <v>4</v>
      </c>
      <c r="AO50" s="20">
        <v>4</v>
      </c>
      <c r="AP50" s="20">
        <v>4</v>
      </c>
      <c r="AQ50" s="21">
        <f>SUM(TB_Cockpit_2026[[#This Row],[K1]:[K5]])</f>
        <v>20</v>
      </c>
      <c r="AR50" s="27">
        <f>+TB_Cockpit_2026[[#This Row],[Relev.]]+TB_Cockpit_2026[[#This Row],[SCORE]]</f>
        <v>32</v>
      </c>
      <c r="AS5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50" s="39"/>
    </row>
    <row r="51" spans="2:46" ht="17.45" hidden="1">
      <c r="B51" s="139" t="s">
        <v>153</v>
      </c>
      <c r="C51" s="140"/>
      <c r="D51" s="141">
        <v>1</v>
      </c>
      <c r="E51" s="142" t="s">
        <v>154</v>
      </c>
      <c r="F51" s="142" t="s">
        <v>2</v>
      </c>
      <c r="G51" s="143" t="s">
        <v>64</v>
      </c>
      <c r="H51" s="142" t="s">
        <v>70</v>
      </c>
      <c r="I51" s="144" t="s">
        <v>155</v>
      </c>
      <c r="J51" s="144" t="s">
        <v>156</v>
      </c>
      <c r="K51" s="35">
        <v>0</v>
      </c>
      <c r="L51" s="145">
        <f>+IF(K51=0,0,IF(K51=1,Apoio!$H$2,IF(K51=2,Apoio!$H$3,IF(K51=3,Apoio!$H$4,IF(K51=4,Apoio!$H$5,0)))))</f>
        <v>0</v>
      </c>
      <c r="M51" s="35">
        <v>1</v>
      </c>
      <c r="N51" s="145">
        <v>72000</v>
      </c>
      <c r="O51" s="146">
        <v>24</v>
      </c>
      <c r="P51" s="147">
        <v>46023</v>
      </c>
      <c r="Q51" s="148">
        <f>+IF(OR(TB_Cockpit_2026[[#This Row],[SPRINT]]="",TB_Cockpit_2026[[#This Row],[SPRINT]]=0),"",TB_Cockpit_2026[[#This Row],[Dt. INÍCIO]]+(TB_Cockpit_2026[[#This Row],[SPRINT]]*15))</f>
        <v>46383</v>
      </c>
      <c r="R5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1" s="150"/>
      <c r="T5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1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1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1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1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1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51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51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51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51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51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51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51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51" s="43">
        <v>0</v>
      </c>
      <c r="AH51" s="17">
        <v>1</v>
      </c>
      <c r="AI51" s="17">
        <v>1</v>
      </c>
      <c r="AJ51" s="17">
        <v>1</v>
      </c>
      <c r="AK51" s="18">
        <f>+(TB_Cockpit_2026[[#This Row],[Encantar os Clientes]]*$AH$10)+(TB_Cockpit_2026[[#This Row],[Capital com Foco]]*$AJ$10)+(TB_Cockpit_2026[[#This Row],[Alta Rentabilidade]]*$AI$10)+IF(TB_Cockpit_2026[[#This Row],[u]]="u",4,0)</f>
        <v>4</v>
      </c>
      <c r="AL51" s="19">
        <v>2</v>
      </c>
      <c r="AM51" s="20">
        <v>4</v>
      </c>
      <c r="AN51" s="20">
        <v>2</v>
      </c>
      <c r="AO51" s="20">
        <v>2</v>
      </c>
      <c r="AP51" s="20">
        <v>2</v>
      </c>
      <c r="AQ51" s="21">
        <f>SUM(TB_Cockpit_2026[[#This Row],[K1]:[K5]])</f>
        <v>12</v>
      </c>
      <c r="AR51" s="27">
        <f>+TB_Cockpit_2026[[#This Row],[Relev.]]+TB_Cockpit_2026[[#This Row],[SCORE]]</f>
        <v>16</v>
      </c>
      <c r="AS5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51" s="39"/>
    </row>
    <row r="52" spans="2:46" ht="15.6" hidden="1">
      <c r="B52" s="139"/>
      <c r="C52" s="168"/>
      <c r="D52" s="141">
        <v>1</v>
      </c>
      <c r="E52" s="169" t="s">
        <v>157</v>
      </c>
      <c r="F52" s="142" t="s">
        <v>0</v>
      </c>
      <c r="G52" s="143" t="s">
        <v>75</v>
      </c>
      <c r="H52" s="142" t="s">
        <v>65</v>
      </c>
      <c r="I52" s="152" t="s">
        <v>155</v>
      </c>
      <c r="J52" s="144" t="s">
        <v>156</v>
      </c>
      <c r="K52" s="170"/>
      <c r="L52" s="171">
        <f>+IF(K52=0,0,IF(K52=1,Apoio!$H$2,IF(K52=2,Apoio!$H$3,IF(K52=3,Apoio!$H$4,IF(K52=4,Apoio!$H$5,0)))))</f>
        <v>0</v>
      </c>
      <c r="M52" s="170"/>
      <c r="N52" s="171">
        <v>7000</v>
      </c>
      <c r="O52" s="146">
        <v>17</v>
      </c>
      <c r="P52" s="147">
        <v>45839</v>
      </c>
      <c r="Q52" s="148">
        <v>46113</v>
      </c>
      <c r="R52" s="172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0.57299270072992703</v>
      </c>
      <c r="S52" s="150">
        <v>0.54400000000000004</v>
      </c>
      <c r="T5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0</v>
      </c>
      <c r="U5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2" s="177"/>
      <c r="AH52" s="173">
        <v>1</v>
      </c>
      <c r="AI52" s="173">
        <v>2</v>
      </c>
      <c r="AJ52" s="173">
        <v>2</v>
      </c>
      <c r="AK52" s="174">
        <f>+(TB_Cockpit_2026[[#This Row],[Encantar os Clientes]]*$AH$10)+(TB_Cockpit_2026[[#This Row],[Capital com Foco]]*$AJ$10)+(TB_Cockpit_2026[[#This Row],[Alta Rentabilidade]]*$AI$10)+IF(TB_Cockpit_2026[[#This Row],[u]]="u",4,0)</f>
        <v>6</v>
      </c>
      <c r="AL52" s="179">
        <v>0</v>
      </c>
      <c r="AM52" s="175">
        <v>0</v>
      </c>
      <c r="AN52" s="175">
        <v>0</v>
      </c>
      <c r="AO52" s="20">
        <v>3</v>
      </c>
      <c r="AP52" s="175">
        <v>3</v>
      </c>
      <c r="AQ52" s="176">
        <f>SUM(TB_Cockpit_2026[[#This Row],[K1]:[K5]])</f>
        <v>6</v>
      </c>
      <c r="AR52" s="27">
        <f>+TB_Cockpit_2026[[#This Row],[Relev.]]+TB_Cockpit_2026[[#This Row],[SCORE]]</f>
        <v>12</v>
      </c>
      <c r="AS5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2" s="39"/>
    </row>
    <row r="53" spans="2:46" ht="17.45" hidden="1">
      <c r="B53" s="139" t="s">
        <v>158</v>
      </c>
      <c r="C53" s="140" t="s">
        <v>18</v>
      </c>
      <c r="D53" s="141">
        <v>1</v>
      </c>
      <c r="E53" s="142" t="s">
        <v>159</v>
      </c>
      <c r="F53" s="142" t="s">
        <v>0</v>
      </c>
      <c r="G53" s="143" t="s">
        <v>75</v>
      </c>
      <c r="H53" s="142" t="s">
        <v>125</v>
      </c>
      <c r="I53" s="144" t="s">
        <v>155</v>
      </c>
      <c r="J53" s="144" t="s">
        <v>156</v>
      </c>
      <c r="K53" s="35">
        <v>0</v>
      </c>
      <c r="L53" s="145">
        <f>+IF(K53=0,0,IF(K53=1,Apoio!$H$2,IF(K53=2,Apoio!$H$3,IF(K53=3,Apoio!$H$4,IF(K53=4,Apoio!$H$5,0)))))</f>
        <v>0</v>
      </c>
      <c r="M53" s="35">
        <v>0</v>
      </c>
      <c r="N53" s="145">
        <v>27000</v>
      </c>
      <c r="O53" s="146">
        <v>24</v>
      </c>
      <c r="P53" s="147">
        <v>46023</v>
      </c>
      <c r="Q53" s="148">
        <f>+IF(OR(TB_Cockpit_2026[[#This Row],[SPRINT]]="",TB_Cockpit_2026[[#This Row],[SPRINT]]=0),"",TB_Cockpit_2026[[#This Row],[Dt. INÍCIO]]+(TB_Cockpit_2026[[#This Row],[SPRINT]]*15))</f>
        <v>46383</v>
      </c>
      <c r="R5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3" s="150"/>
      <c r="T5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5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5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5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5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5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5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5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53" s="43">
        <v>0</v>
      </c>
      <c r="AH53" s="17">
        <v>1</v>
      </c>
      <c r="AI53" s="17">
        <v>2</v>
      </c>
      <c r="AJ53" s="17">
        <v>3</v>
      </c>
      <c r="AK53" s="18">
        <f>+(TB_Cockpit_2026[[#This Row],[Encantar os Clientes]]*$AH$10)+(TB_Cockpit_2026[[#This Row],[Capital com Foco]]*$AJ$10)+(TB_Cockpit_2026[[#This Row],[Alta Rentabilidade]]*$AI$10)+IF(TB_Cockpit_2026[[#This Row],[u]]="u",4,0)</f>
        <v>11</v>
      </c>
      <c r="AL53" s="19">
        <v>2</v>
      </c>
      <c r="AM53" s="20">
        <v>2</v>
      </c>
      <c r="AN53" s="20">
        <v>2</v>
      </c>
      <c r="AO53" s="20">
        <v>4</v>
      </c>
      <c r="AP53" s="20">
        <v>2</v>
      </c>
      <c r="AQ53" s="21">
        <f>SUM(TB_Cockpit_2026[[#This Row],[K1]:[K5]])</f>
        <v>12</v>
      </c>
      <c r="AR53" s="27">
        <f>+TB_Cockpit_2026[[#This Row],[Relev.]]+TB_Cockpit_2026[[#This Row],[SCORE]]</f>
        <v>23</v>
      </c>
      <c r="AS5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53" s="39"/>
    </row>
    <row r="54" spans="2:46" ht="15.6" hidden="1">
      <c r="B54" s="139"/>
      <c r="C54" s="168"/>
      <c r="D54" s="141">
        <v>1</v>
      </c>
      <c r="E54" s="169" t="s">
        <v>160</v>
      </c>
      <c r="F54" s="142" t="s">
        <v>2</v>
      </c>
      <c r="G54" s="143" t="s">
        <v>64</v>
      </c>
      <c r="H54" s="142" t="s">
        <v>76</v>
      </c>
      <c r="I54" s="152" t="s">
        <v>155</v>
      </c>
      <c r="J54" s="144" t="s">
        <v>156</v>
      </c>
      <c r="K54" s="170"/>
      <c r="L54" s="171">
        <f>+IF(K54=0,0,IF(K54=1,Apoio!$H$2,IF(K54=2,Apoio!$H$3,IF(K54=3,Apoio!$H$4,IF(K54=4,Apoio!$H$5,0)))))</f>
        <v>0</v>
      </c>
      <c r="M54" s="170"/>
      <c r="N54" s="171">
        <v>6000</v>
      </c>
      <c r="O54" s="146">
        <v>15</v>
      </c>
      <c r="P54" s="147">
        <v>45839</v>
      </c>
      <c r="Q54" s="148">
        <v>46113</v>
      </c>
      <c r="R54" s="172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0.57299270072992703</v>
      </c>
      <c r="S54" s="150">
        <v>0.54400000000000004</v>
      </c>
      <c r="T5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0</v>
      </c>
      <c r="U5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4" s="177"/>
      <c r="AH54" s="173">
        <v>1</v>
      </c>
      <c r="AI54" s="173">
        <v>1</v>
      </c>
      <c r="AJ54" s="173">
        <v>0</v>
      </c>
      <c r="AK54" s="174">
        <f>+(TB_Cockpit_2026[[#This Row],[Encantar os Clientes]]*$AH$10)+(TB_Cockpit_2026[[#This Row],[Capital com Foco]]*$AJ$10)+(TB_Cockpit_2026[[#This Row],[Alta Rentabilidade]]*$AI$10)+IF(TB_Cockpit_2026[[#This Row],[u]]="u",4,0)</f>
        <v>3</v>
      </c>
      <c r="AL54" s="179">
        <v>0</v>
      </c>
      <c r="AM54" s="175">
        <v>0</v>
      </c>
      <c r="AN54" s="175">
        <v>0</v>
      </c>
      <c r="AO54" s="20">
        <v>3</v>
      </c>
      <c r="AP54" s="175">
        <v>0</v>
      </c>
      <c r="AQ54" s="176">
        <f>SUM(TB_Cockpit_2026[[#This Row],[K1]:[K5]])</f>
        <v>3</v>
      </c>
      <c r="AR54" s="27">
        <f>+TB_Cockpit_2026[[#This Row],[Relev.]]+TB_Cockpit_2026[[#This Row],[SCORE]]</f>
        <v>6</v>
      </c>
      <c r="AS5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4" s="39"/>
    </row>
    <row r="55" spans="2:46" ht="17.45" hidden="1">
      <c r="B55" s="139" t="s">
        <v>161</v>
      </c>
      <c r="C55" s="140"/>
      <c r="D55" s="141">
        <v>1</v>
      </c>
      <c r="E55" s="142" t="s">
        <v>162</v>
      </c>
      <c r="F55" s="142" t="s">
        <v>2</v>
      </c>
      <c r="G55" s="143" t="s">
        <v>75</v>
      </c>
      <c r="H55" s="142" t="s">
        <v>70</v>
      </c>
      <c r="I55" s="144" t="s">
        <v>155</v>
      </c>
      <c r="J55" s="144" t="s">
        <v>156</v>
      </c>
      <c r="K55" s="35">
        <v>0</v>
      </c>
      <c r="L55" s="145">
        <f>+IF(K55=0,0,IF(K55=1,Apoio!$H$2,IF(K55=2,Apoio!$H$3,IF(K55=3,Apoio!$H$4,IF(K55=4,Apoio!$H$5,0)))))</f>
        <v>0</v>
      </c>
      <c r="M55" s="35">
        <v>0</v>
      </c>
      <c r="N55" s="145">
        <f>+IF(M55=0,0,IF(M55=1,Apoio!$L$2,IF(M55=2,Apoio!$L$3,IF(M55=3,Apoio!$L$4,IF(M55=4,Apoio!$L$5,0)))))</f>
        <v>0</v>
      </c>
      <c r="O55" s="146">
        <v>22</v>
      </c>
      <c r="P55" s="147">
        <v>46054</v>
      </c>
      <c r="Q55" s="148">
        <f>+IF(OR(TB_Cockpit_2026[[#This Row],[SPRINT]]="",TB_Cockpit_2026[[#This Row],[SPRINT]]=0),"",TB_Cockpit_2026[[#This Row],[Dt. INÍCIO]]+(TB_Cockpit_2026[[#This Row],[SPRINT]]*15))</f>
        <v>46384</v>
      </c>
      <c r="R5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5" s="150"/>
      <c r="T5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5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5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5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5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5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5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5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5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55" s="43">
        <v>0</v>
      </c>
      <c r="AH55" s="17">
        <v>0</v>
      </c>
      <c r="AI55" s="17">
        <v>0</v>
      </c>
      <c r="AJ55" s="17">
        <v>0</v>
      </c>
      <c r="AK55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55" s="19">
        <v>0</v>
      </c>
      <c r="AM55" s="20">
        <v>0</v>
      </c>
      <c r="AN55" s="20">
        <v>0</v>
      </c>
      <c r="AO55" s="20">
        <v>0</v>
      </c>
      <c r="AP55" s="20">
        <v>0</v>
      </c>
      <c r="AQ55" s="21">
        <f>SUM(TB_Cockpit_2026[[#This Row],[K1]:[K5]])</f>
        <v>0</v>
      </c>
      <c r="AR55" s="27">
        <f>+TB_Cockpit_2026[[#This Row],[Relev.]]+TB_Cockpit_2026[[#This Row],[SCORE]]</f>
        <v>0</v>
      </c>
      <c r="AS5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5" s="39"/>
    </row>
    <row r="56" spans="2:46" ht="15.6" hidden="1">
      <c r="B56" s="139"/>
      <c r="C56" s="168"/>
      <c r="D56" s="141">
        <v>1</v>
      </c>
      <c r="E56" s="169" t="s">
        <v>163</v>
      </c>
      <c r="F56" s="142" t="s">
        <v>0</v>
      </c>
      <c r="G56" s="143" t="s">
        <v>75</v>
      </c>
      <c r="H56" s="142" t="s">
        <v>65</v>
      </c>
      <c r="I56" s="152" t="s">
        <v>155</v>
      </c>
      <c r="J56" s="144" t="s">
        <v>156</v>
      </c>
      <c r="K56" s="170"/>
      <c r="L56" s="171">
        <f>+IF(K56=0,0,IF(K56=1,Apoio!$H$2,IF(K56=2,Apoio!$H$3,IF(K56=3,Apoio!$H$4,IF(K56=4,Apoio!$H$5,0)))))</f>
        <v>0</v>
      </c>
      <c r="M56" s="170"/>
      <c r="N56" s="171">
        <v>7000</v>
      </c>
      <c r="O56" s="146">
        <v>18</v>
      </c>
      <c r="P56" s="147">
        <v>45843</v>
      </c>
      <c r="Q56" s="148">
        <v>46117</v>
      </c>
      <c r="R56" s="172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0.55839416058394165</v>
      </c>
      <c r="S56" s="150"/>
      <c r="T5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0</v>
      </c>
      <c r="U5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5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6" s="177"/>
      <c r="AH56" s="173">
        <v>1</v>
      </c>
      <c r="AI56" s="173">
        <v>1</v>
      </c>
      <c r="AJ56" s="173">
        <v>1</v>
      </c>
      <c r="AK56" s="174">
        <f>+(TB_Cockpit_2026[[#This Row],[Encantar os Clientes]]*$AH$10)+(TB_Cockpit_2026[[#This Row],[Capital com Foco]]*$AJ$10)+(TB_Cockpit_2026[[#This Row],[Alta Rentabilidade]]*$AI$10)+IF(TB_Cockpit_2026[[#This Row],[u]]="u",4,0)</f>
        <v>4</v>
      </c>
      <c r="AL56" s="179">
        <v>1</v>
      </c>
      <c r="AM56" s="175">
        <v>1</v>
      </c>
      <c r="AN56" s="175">
        <v>1</v>
      </c>
      <c r="AO56" s="20">
        <v>1</v>
      </c>
      <c r="AP56" s="175">
        <v>1</v>
      </c>
      <c r="AQ56" s="176">
        <f>SUM(TB_Cockpit_2026[[#This Row],[K1]:[K5]])</f>
        <v>5</v>
      </c>
      <c r="AR56" s="27">
        <f>+TB_Cockpit_2026[[#This Row],[Relev.]]+TB_Cockpit_2026[[#This Row],[SCORE]]</f>
        <v>9</v>
      </c>
      <c r="AS5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6" s="39"/>
    </row>
    <row r="57" spans="2:46" ht="17.45" hidden="1">
      <c r="B57" s="139" t="s">
        <v>164</v>
      </c>
      <c r="C57" s="140"/>
      <c r="D57" s="141">
        <v>1</v>
      </c>
      <c r="E57" s="142" t="s">
        <v>165</v>
      </c>
      <c r="F57" s="142" t="s">
        <v>2</v>
      </c>
      <c r="G57" s="143" t="s">
        <v>64</v>
      </c>
      <c r="H57" s="142" t="s">
        <v>70</v>
      </c>
      <c r="I57" s="144" t="s">
        <v>166</v>
      </c>
      <c r="J57" s="144" t="s">
        <v>167</v>
      </c>
      <c r="K57" s="35">
        <v>0</v>
      </c>
      <c r="L57" s="145">
        <f>+IF(K57=0,0,IF(K57=1,Apoio!$H$2,IF(K57=2,Apoio!$H$3,IF(K57=3,Apoio!$H$4,IF(K57=4,Apoio!$H$5,0)))))</f>
        <v>0</v>
      </c>
      <c r="M57" s="35">
        <v>0</v>
      </c>
      <c r="N57" s="145">
        <v>5000</v>
      </c>
      <c r="O57" s="146">
        <v>3</v>
      </c>
      <c r="P57" s="147">
        <v>46023</v>
      </c>
      <c r="Q57" s="148">
        <f>+IF(OR(TB_Cockpit_2026[[#This Row],[SPRINT]]="",TB_Cockpit_2026[[#This Row],[SPRINT]]=0),"",TB_Cockpit_2026[[#This Row],[Dt. INÍCIO]]+(TB_Cockpit_2026[[#This Row],[SPRINT]]*15))</f>
        <v>46068</v>
      </c>
      <c r="R5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7" s="150"/>
      <c r="T5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5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5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5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7" s="43">
        <v>0</v>
      </c>
      <c r="AH57" s="17">
        <v>1</v>
      </c>
      <c r="AI57" s="17">
        <v>0</v>
      </c>
      <c r="AJ57" s="17">
        <v>0</v>
      </c>
      <c r="AK57" s="18">
        <f>+(TB_Cockpit_2026[[#This Row],[Encantar os Clientes]]*$AH$10)+(TB_Cockpit_2026[[#This Row],[Capital com Foco]]*$AJ$10)+(TB_Cockpit_2026[[#This Row],[Alta Rentabilidade]]*$AI$10)+IF(TB_Cockpit_2026[[#This Row],[u]]="u",4,0)</f>
        <v>2</v>
      </c>
      <c r="AL57" s="19">
        <v>3</v>
      </c>
      <c r="AM57" s="20">
        <v>3</v>
      </c>
      <c r="AN57" s="20">
        <v>3</v>
      </c>
      <c r="AO57" s="20">
        <v>3</v>
      </c>
      <c r="AP57" s="20">
        <v>0</v>
      </c>
      <c r="AQ57" s="21">
        <f>SUM(TB_Cockpit_2026[[#This Row],[K1]:[K5]])</f>
        <v>12</v>
      </c>
      <c r="AR57" s="27">
        <f>+TB_Cockpit_2026[[#This Row],[Relev.]]+TB_Cockpit_2026[[#This Row],[SCORE]]</f>
        <v>14</v>
      </c>
      <c r="AS5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57" s="39"/>
    </row>
    <row r="58" spans="2:46" ht="17.45" hidden="1">
      <c r="B58" s="139" t="s">
        <v>168</v>
      </c>
      <c r="C58" s="140"/>
      <c r="D58" s="141">
        <v>1</v>
      </c>
      <c r="E58" s="142" t="s">
        <v>169</v>
      </c>
      <c r="F58" s="142" t="s">
        <v>2</v>
      </c>
      <c r="G58" s="143" t="s">
        <v>75</v>
      </c>
      <c r="H58" s="142" t="s">
        <v>125</v>
      </c>
      <c r="I58" s="144" t="s">
        <v>166</v>
      </c>
      <c r="J58" s="144" t="s">
        <v>170</v>
      </c>
      <c r="K58" s="35">
        <v>0</v>
      </c>
      <c r="L58" s="145">
        <f>+IF(K58=0,0,IF(K58=1,Apoio!$H$2,IF(K58=2,Apoio!$H$3,IF(K58=3,Apoio!$H$4,IF(K58=4,Apoio!$H$5,0)))))</f>
        <v>0</v>
      </c>
      <c r="M58" s="35">
        <v>0</v>
      </c>
      <c r="N58" s="145">
        <v>5000</v>
      </c>
      <c r="O58" s="146">
        <v>2</v>
      </c>
      <c r="P58" s="147">
        <v>46054</v>
      </c>
      <c r="Q58" s="148">
        <f>+IF(OR(TB_Cockpit_2026[[#This Row],[SPRINT]]="",TB_Cockpit_2026[[#This Row],[SPRINT]]=0),"",TB_Cockpit_2026[[#This Row],[Dt. INÍCIO]]+(TB_Cockpit_2026[[#This Row],[SPRINT]]*15))</f>
        <v>46084</v>
      </c>
      <c r="R5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8" s="150"/>
      <c r="T5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5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5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5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8" s="43">
        <v>0</v>
      </c>
      <c r="AH58" s="17">
        <v>1</v>
      </c>
      <c r="AI58" s="17">
        <v>0</v>
      </c>
      <c r="AJ58" s="17">
        <v>1</v>
      </c>
      <c r="AK58" s="18">
        <f>+(TB_Cockpit_2026[[#This Row],[Encantar os Clientes]]*$AH$10)+(TB_Cockpit_2026[[#This Row],[Capital com Foco]]*$AJ$10)+(TB_Cockpit_2026[[#This Row],[Alta Rentabilidade]]*$AI$10)+IF(TB_Cockpit_2026[[#This Row],[u]]="u",4,0)</f>
        <v>3</v>
      </c>
      <c r="AL58" s="19">
        <v>0</v>
      </c>
      <c r="AM58" s="20">
        <v>0</v>
      </c>
      <c r="AN58" s="20">
        <v>0</v>
      </c>
      <c r="AO58" s="20">
        <v>2</v>
      </c>
      <c r="AP58" s="20">
        <v>0</v>
      </c>
      <c r="AQ58" s="21">
        <f>SUM(TB_Cockpit_2026[[#This Row],[K1]:[K5]])</f>
        <v>2</v>
      </c>
      <c r="AR58" s="27">
        <f>+TB_Cockpit_2026[[#This Row],[Relev.]]+TB_Cockpit_2026[[#This Row],[SCORE]]</f>
        <v>5</v>
      </c>
      <c r="AS5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8" s="39"/>
    </row>
    <row r="59" spans="2:46" ht="17.45" hidden="1">
      <c r="B59" s="139" t="s">
        <v>171</v>
      </c>
      <c r="C59" s="140"/>
      <c r="D59" s="141">
        <v>1</v>
      </c>
      <c r="E59" s="142" t="s">
        <v>172</v>
      </c>
      <c r="F59" s="142" t="s">
        <v>2</v>
      </c>
      <c r="G59" s="143" t="s">
        <v>64</v>
      </c>
      <c r="H59" s="142" t="s">
        <v>125</v>
      </c>
      <c r="I59" s="144" t="s">
        <v>166</v>
      </c>
      <c r="J59" s="144" t="s">
        <v>170</v>
      </c>
      <c r="K59" s="35">
        <v>0</v>
      </c>
      <c r="L59" s="145">
        <f>+IF(K59=0,0,IF(K59=1,Apoio!$H$2,IF(K59=2,Apoio!$H$3,IF(K59=3,Apoio!$H$4,IF(K59=4,Apoio!$H$5,0)))))</f>
        <v>0</v>
      </c>
      <c r="M59" s="35">
        <v>0</v>
      </c>
      <c r="N59" s="145">
        <v>15000</v>
      </c>
      <c r="O59" s="146">
        <v>2</v>
      </c>
      <c r="P59" s="147">
        <v>46082</v>
      </c>
      <c r="Q59" s="148">
        <f>+IF(OR(TB_Cockpit_2026[[#This Row],[SPRINT]]="",TB_Cockpit_2026[[#This Row],[SPRINT]]=0),"",TB_Cockpit_2026[[#This Row],[Dt. INÍCIO]]+(TB_Cockpit_2026[[#This Row],[SPRINT]]*15))</f>
        <v>46112</v>
      </c>
      <c r="R5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59" s="150"/>
      <c r="T5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5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5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5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5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5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5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5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5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5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5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5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5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59" s="43">
        <v>0</v>
      </c>
      <c r="AH59" s="17">
        <v>0</v>
      </c>
      <c r="AI59" s="17">
        <v>0</v>
      </c>
      <c r="AJ59" s="17">
        <v>0</v>
      </c>
      <c r="AK59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59" s="19">
        <v>0</v>
      </c>
      <c r="AM59" s="20">
        <v>0</v>
      </c>
      <c r="AN59" s="20">
        <v>0</v>
      </c>
      <c r="AO59" s="20">
        <v>3</v>
      </c>
      <c r="AP59" s="20">
        <v>0</v>
      </c>
      <c r="AQ59" s="21">
        <f>SUM(TB_Cockpit_2026[[#This Row],[K1]:[K5]])</f>
        <v>3</v>
      </c>
      <c r="AR59" s="27">
        <f>+TB_Cockpit_2026[[#This Row],[Relev.]]+TB_Cockpit_2026[[#This Row],[SCORE]]</f>
        <v>3</v>
      </c>
      <c r="AS5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59" s="39"/>
    </row>
    <row r="60" spans="2:46" ht="17.45" hidden="1">
      <c r="B60" s="139" t="s">
        <v>173</v>
      </c>
      <c r="C60" s="140"/>
      <c r="D60" s="141">
        <v>1</v>
      </c>
      <c r="E60" s="142" t="s">
        <v>174</v>
      </c>
      <c r="F60" s="142" t="s">
        <v>2</v>
      </c>
      <c r="G60" s="143" t="s">
        <v>64</v>
      </c>
      <c r="H60" s="142" t="s">
        <v>125</v>
      </c>
      <c r="I60" s="144" t="s">
        <v>166</v>
      </c>
      <c r="J60" s="144" t="s">
        <v>170</v>
      </c>
      <c r="K60" s="35">
        <v>0</v>
      </c>
      <c r="L60" s="145">
        <f>+IF(K60=0,0,IF(K60=1,Apoio!$H$2,IF(K60=2,Apoio!$H$3,IF(K60=3,Apoio!$H$4,IF(K60=4,Apoio!$H$5,0)))))</f>
        <v>0</v>
      </c>
      <c r="M60" s="35">
        <v>0</v>
      </c>
      <c r="N60" s="145">
        <f>+IF(M60=0,0,IF(M60=1,Apoio!$L$2,IF(M60=2,Apoio!$L$3,IF(M60=3,Apoio!$L$4,IF(M60=4,Apoio!$L$5,0)))))</f>
        <v>0</v>
      </c>
      <c r="O60" s="146">
        <v>2</v>
      </c>
      <c r="P60" s="147">
        <v>46082</v>
      </c>
      <c r="Q60" s="148">
        <f>+IF(OR(TB_Cockpit_2026[[#This Row],[SPRINT]]="",TB_Cockpit_2026[[#This Row],[SPRINT]]=0),"",TB_Cockpit_2026[[#This Row],[Dt. INÍCIO]]+(TB_Cockpit_2026[[#This Row],[SPRINT]]*15))</f>
        <v>46112</v>
      </c>
      <c r="R6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0" s="150"/>
      <c r="T6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6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6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6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0" s="43">
        <v>0</v>
      </c>
      <c r="AH60" s="17">
        <v>1</v>
      </c>
      <c r="AI60" s="17">
        <v>0</v>
      </c>
      <c r="AJ60" s="17">
        <v>0</v>
      </c>
      <c r="AK60" s="18">
        <f>+(TB_Cockpit_2026[[#This Row],[Encantar os Clientes]]*$AH$10)+(TB_Cockpit_2026[[#This Row],[Capital com Foco]]*$AJ$10)+(TB_Cockpit_2026[[#This Row],[Alta Rentabilidade]]*$AI$10)+IF(TB_Cockpit_2026[[#This Row],[u]]="u",4,0)</f>
        <v>2</v>
      </c>
      <c r="AL60" s="19">
        <v>0</v>
      </c>
      <c r="AM60" s="20">
        <v>0</v>
      </c>
      <c r="AN60" s="20">
        <v>0</v>
      </c>
      <c r="AO60" s="20">
        <v>3</v>
      </c>
      <c r="AP60" s="20">
        <v>0</v>
      </c>
      <c r="AQ60" s="21">
        <f>SUM(TB_Cockpit_2026[[#This Row],[K1]:[K5]])</f>
        <v>3</v>
      </c>
      <c r="AR60" s="27">
        <f>+TB_Cockpit_2026[[#This Row],[Relev.]]+TB_Cockpit_2026[[#This Row],[SCORE]]</f>
        <v>5</v>
      </c>
      <c r="AS6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60" s="39"/>
    </row>
    <row r="61" spans="2:46" ht="17.45" hidden="1">
      <c r="B61" s="139" t="s">
        <v>175</v>
      </c>
      <c r="C61" s="140"/>
      <c r="D61" s="141">
        <v>1</v>
      </c>
      <c r="E61" s="142" t="s">
        <v>176</v>
      </c>
      <c r="F61" s="142" t="s">
        <v>2</v>
      </c>
      <c r="G61" s="143" t="s">
        <v>75</v>
      </c>
      <c r="H61" s="142" t="s">
        <v>125</v>
      </c>
      <c r="I61" s="144" t="s">
        <v>166</v>
      </c>
      <c r="J61" s="144" t="s">
        <v>170</v>
      </c>
      <c r="K61" s="35">
        <v>0</v>
      </c>
      <c r="L61" s="145">
        <f>+IF(K61=0,0,IF(K61=1,Apoio!$H$2,IF(K61=2,Apoio!$H$3,IF(K61=3,Apoio!$H$4,IF(K61=4,Apoio!$H$5,0)))))</f>
        <v>0</v>
      </c>
      <c r="M61" s="35">
        <v>0</v>
      </c>
      <c r="N61" s="145">
        <f>+IF(M61=0,0,IF(M61=1,Apoio!$L$2,IF(M61=2,Apoio!$L$3,IF(M61=3,Apoio!$L$4,IF(M61=4,Apoio!$L$5,0)))))</f>
        <v>0</v>
      </c>
      <c r="O61" s="146">
        <v>4</v>
      </c>
      <c r="P61" s="147">
        <v>46113</v>
      </c>
      <c r="Q61" s="148">
        <f>+IF(OR(TB_Cockpit_2026[[#This Row],[SPRINT]]="",TB_Cockpit_2026[[#This Row],[SPRINT]]=0),"",TB_Cockpit_2026[[#This Row],[Dt. INÍCIO]]+(TB_Cockpit_2026[[#This Row],[SPRINT]]*15))</f>
        <v>46173</v>
      </c>
      <c r="R6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1" s="150"/>
      <c r="T6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1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1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1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61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1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1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61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1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1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1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1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1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1" s="43">
        <v>0</v>
      </c>
      <c r="AH61" s="17">
        <v>1</v>
      </c>
      <c r="AI61" s="17">
        <v>0</v>
      </c>
      <c r="AJ61" s="17">
        <v>0</v>
      </c>
      <c r="AK61" s="18">
        <f>+(TB_Cockpit_2026[[#This Row],[Encantar os Clientes]]*$AH$10)+(TB_Cockpit_2026[[#This Row],[Capital com Foco]]*$AJ$10)+(TB_Cockpit_2026[[#This Row],[Alta Rentabilidade]]*$AI$10)+IF(TB_Cockpit_2026[[#This Row],[u]]="u",4,0)</f>
        <v>2</v>
      </c>
      <c r="AL61" s="19">
        <v>0</v>
      </c>
      <c r="AM61" s="20">
        <v>0</v>
      </c>
      <c r="AN61" s="20">
        <v>0</v>
      </c>
      <c r="AO61" s="20">
        <v>3</v>
      </c>
      <c r="AP61" s="20">
        <v>0</v>
      </c>
      <c r="AQ61" s="21">
        <f>SUM(TB_Cockpit_2026[[#This Row],[K1]:[K5]])</f>
        <v>3</v>
      </c>
      <c r="AR61" s="27">
        <f>+TB_Cockpit_2026[[#This Row],[Relev.]]+TB_Cockpit_2026[[#This Row],[SCORE]]</f>
        <v>5</v>
      </c>
      <c r="AS6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61" s="39"/>
    </row>
    <row r="62" spans="2:46" ht="17.45" hidden="1">
      <c r="B62" s="139" t="s">
        <v>177</v>
      </c>
      <c r="C62" s="140"/>
      <c r="D62" s="141">
        <v>1</v>
      </c>
      <c r="E62" s="142" t="s">
        <v>178</v>
      </c>
      <c r="F62" s="142" t="s">
        <v>2</v>
      </c>
      <c r="G62" s="143" t="s">
        <v>75</v>
      </c>
      <c r="H62" s="142" t="s">
        <v>125</v>
      </c>
      <c r="I62" s="152" t="s">
        <v>166</v>
      </c>
      <c r="J62" s="144" t="s">
        <v>170</v>
      </c>
      <c r="K62" s="35">
        <v>0</v>
      </c>
      <c r="L62" s="145">
        <f>+IF(K62=0,0,IF(K62=1,Apoio!$H$2,IF(K62=2,Apoio!$H$3,IF(K62=3,Apoio!$H$4,IF(K62=4,Apoio!$H$5,0)))))</f>
        <v>0</v>
      </c>
      <c r="M62" s="35">
        <v>0</v>
      </c>
      <c r="N62" s="145">
        <v>3600</v>
      </c>
      <c r="O62" s="146">
        <v>2</v>
      </c>
      <c r="P62" s="147">
        <v>46023</v>
      </c>
      <c r="Q62" s="148">
        <f>+IF(OR(TB_Cockpit_2026[[#This Row],[SPRINT]]="",TB_Cockpit_2026[[#This Row],[SPRINT]]=0),"",TB_Cockpit_2026[[#This Row],[Dt. INÍCIO]]+(TB_Cockpit_2026[[#This Row],[SPRINT]]*15))</f>
        <v>46053</v>
      </c>
      <c r="R6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2" s="150"/>
      <c r="T6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6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6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6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6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6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2" s="43">
        <v>0</v>
      </c>
      <c r="AH62" s="17">
        <v>0</v>
      </c>
      <c r="AI62" s="17">
        <v>0</v>
      </c>
      <c r="AJ62" s="17">
        <v>0</v>
      </c>
      <c r="AK62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62" s="19">
        <v>0</v>
      </c>
      <c r="AM62" s="20">
        <v>0</v>
      </c>
      <c r="AN62" s="20">
        <v>0</v>
      </c>
      <c r="AO62" s="20">
        <v>4</v>
      </c>
      <c r="AP62" s="20">
        <v>0</v>
      </c>
      <c r="AQ62" s="21">
        <f>SUM(TB_Cockpit_2026[[#This Row],[K1]:[K5]])</f>
        <v>4</v>
      </c>
      <c r="AR62" s="27">
        <f>+TB_Cockpit_2026[[#This Row],[Relev.]]+TB_Cockpit_2026[[#This Row],[SCORE]]</f>
        <v>4</v>
      </c>
      <c r="AS6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62" s="39"/>
    </row>
    <row r="63" spans="2:46" ht="17.850000000000001" hidden="1" customHeight="1">
      <c r="B63" s="139" t="s">
        <v>179</v>
      </c>
      <c r="C63" s="140" t="s">
        <v>18</v>
      </c>
      <c r="D63" s="141">
        <v>1</v>
      </c>
      <c r="E63" s="142" t="s">
        <v>180</v>
      </c>
      <c r="F63" s="142" t="s">
        <v>0</v>
      </c>
      <c r="G63" s="143" t="s">
        <v>75</v>
      </c>
      <c r="H63" s="142" t="s">
        <v>76</v>
      </c>
      <c r="I63" s="144" t="s">
        <v>181</v>
      </c>
      <c r="J63" s="144" t="s">
        <v>182</v>
      </c>
      <c r="K63" s="35">
        <v>0</v>
      </c>
      <c r="L63" s="145">
        <f>+IF(K63=0,0,IF(K63=1,Apoio!$H$2,IF(K63=2,Apoio!$H$3,IF(K63=3,Apoio!$H$4,IF(K63=4,Apoio!$H$5,0)))))</f>
        <v>0</v>
      </c>
      <c r="M63" s="35">
        <v>0</v>
      </c>
      <c r="N63" s="145">
        <v>20000</v>
      </c>
      <c r="O63" s="146">
        <v>2</v>
      </c>
      <c r="P63" s="147">
        <v>46082</v>
      </c>
      <c r="Q63" s="148">
        <f>+IF(OR(TB_Cockpit_2026[[#This Row],[SPRINT]]="",TB_Cockpit_2026[[#This Row],[SPRINT]]=0),"",TB_Cockpit_2026[[#This Row],[Dt. INÍCIO]]+(TB_Cockpit_2026[[#This Row],[SPRINT]]*15))</f>
        <v>46112</v>
      </c>
      <c r="R6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3" s="150"/>
      <c r="T6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6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6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6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3" s="43">
        <v>0</v>
      </c>
      <c r="AH63" s="17">
        <v>2</v>
      </c>
      <c r="AI63" s="17">
        <v>4</v>
      </c>
      <c r="AJ63" s="17">
        <v>4</v>
      </c>
      <c r="AK63" s="18">
        <f>+(TB_Cockpit_2026[[#This Row],[Encantar os Clientes]]*$AH$10)+(TB_Cockpit_2026[[#This Row],[Capital com Foco]]*$AJ$10)+(TB_Cockpit_2026[[#This Row],[Alta Rentabilidade]]*$AI$10)+IF(TB_Cockpit_2026[[#This Row],[u]]="u",4,0)</f>
        <v>16</v>
      </c>
      <c r="AL63" s="19">
        <v>2</v>
      </c>
      <c r="AM63" s="20">
        <v>3</v>
      </c>
      <c r="AN63" s="20">
        <v>0</v>
      </c>
      <c r="AO63" s="20">
        <v>4</v>
      </c>
      <c r="AP63" s="20">
        <v>0</v>
      </c>
      <c r="AQ63" s="21">
        <f>SUM(TB_Cockpit_2026[[#This Row],[K1]:[K5]])</f>
        <v>9</v>
      </c>
      <c r="AR63" s="27">
        <f>+TB_Cockpit_2026[[#This Row],[Relev.]]+TB_Cockpit_2026[[#This Row],[SCORE]]</f>
        <v>25</v>
      </c>
      <c r="AS6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63" s="39"/>
    </row>
    <row r="64" spans="2:46" ht="17.45" hidden="1">
      <c r="B64" s="139" t="s">
        <v>183</v>
      </c>
      <c r="C64" s="140" t="s">
        <v>18</v>
      </c>
      <c r="D64" s="141">
        <v>1</v>
      </c>
      <c r="E64" s="142" t="s">
        <v>184</v>
      </c>
      <c r="F64" s="142" t="s">
        <v>2</v>
      </c>
      <c r="G64" s="143" t="s">
        <v>64</v>
      </c>
      <c r="H64" s="142" t="s">
        <v>70</v>
      </c>
      <c r="I64" s="152" t="s">
        <v>181</v>
      </c>
      <c r="J64" s="144" t="s">
        <v>182</v>
      </c>
      <c r="K64" s="35">
        <v>0</v>
      </c>
      <c r="L64" s="145">
        <f>+IF(K64=0,0,IF(K64=1,Apoio!$H$2,IF(K64=2,Apoio!$H$3,IF(K64=3,Apoio!$H$4,IF(K64=4,Apoio!$H$5,0)))))</f>
        <v>0</v>
      </c>
      <c r="M64" s="35">
        <v>0</v>
      </c>
      <c r="N64" s="145">
        <f>+IF(M64=0,0,IF(M64=1,Apoio!$L$2,IF(M64=2,Apoio!$L$3,IF(M64=3,Apoio!$L$4,IF(M64=4,Apoio!$L$5,0)))))</f>
        <v>0</v>
      </c>
      <c r="O64" s="146">
        <v>8</v>
      </c>
      <c r="P64" s="147">
        <v>46082</v>
      </c>
      <c r="Q64" s="148">
        <f>+IF(OR(TB_Cockpit_2026[[#This Row],[SPRINT]]="",TB_Cockpit_2026[[#This Row],[SPRINT]]=0),"",TB_Cockpit_2026[[#This Row],[Dt. INÍCIO]]+(TB_Cockpit_2026[[#This Row],[SPRINT]]*15))</f>
        <v>46202</v>
      </c>
      <c r="R6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4" s="150"/>
      <c r="T6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6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4" s="43">
        <v>0</v>
      </c>
      <c r="AH64" s="17">
        <v>1</v>
      </c>
      <c r="AI64" s="17">
        <v>1</v>
      </c>
      <c r="AJ64" s="17">
        <v>2</v>
      </c>
      <c r="AK64" s="18">
        <f>+(TB_Cockpit_2026[[#This Row],[Encantar os Clientes]]*$AH$10)+(TB_Cockpit_2026[[#This Row],[Capital com Foco]]*$AJ$10)+(TB_Cockpit_2026[[#This Row],[Alta Rentabilidade]]*$AI$10)+IF(TB_Cockpit_2026[[#This Row],[u]]="u",4,0)</f>
        <v>9</v>
      </c>
      <c r="AL64" s="19">
        <v>2</v>
      </c>
      <c r="AM64" s="20">
        <v>3</v>
      </c>
      <c r="AN64" s="20">
        <v>2</v>
      </c>
      <c r="AO64" s="20">
        <v>3</v>
      </c>
      <c r="AP64" s="20">
        <v>3</v>
      </c>
      <c r="AQ64" s="21">
        <f>SUM(TB_Cockpit_2026[[#This Row],[K1]:[K5]])</f>
        <v>13</v>
      </c>
      <c r="AR64" s="27">
        <f>+TB_Cockpit_2026[[#This Row],[Relev.]]+TB_Cockpit_2026[[#This Row],[SCORE]]</f>
        <v>22</v>
      </c>
      <c r="AS6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64" s="39"/>
    </row>
    <row r="65" spans="2:46" ht="17.45" hidden="1">
      <c r="B65" s="139" t="s">
        <v>185</v>
      </c>
      <c r="C65" s="140" t="s">
        <v>18</v>
      </c>
      <c r="D65" s="141">
        <v>1</v>
      </c>
      <c r="E65" s="142" t="s">
        <v>186</v>
      </c>
      <c r="F65" s="142" t="s">
        <v>0</v>
      </c>
      <c r="G65" s="143" t="s">
        <v>75</v>
      </c>
      <c r="H65" s="142" t="s">
        <v>125</v>
      </c>
      <c r="I65" s="152" t="s">
        <v>181</v>
      </c>
      <c r="J65" s="144" t="s">
        <v>182</v>
      </c>
      <c r="K65" s="35">
        <v>0</v>
      </c>
      <c r="L65" s="145">
        <f>+IF(K65=0,0,IF(K65=1,Apoio!$H$2,IF(K65=2,Apoio!$H$3,IF(K65=3,Apoio!$H$4,IF(K65=4,Apoio!$H$5,0)))))</f>
        <v>0</v>
      </c>
      <c r="M65" s="35">
        <v>0</v>
      </c>
      <c r="N65" s="145">
        <f>N64*2</f>
        <v>0</v>
      </c>
      <c r="O65" s="146">
        <v>16</v>
      </c>
      <c r="P65" s="147">
        <v>46082</v>
      </c>
      <c r="Q65" s="148">
        <f>+IF(OR(TB_Cockpit_2026[[#This Row],[SPRINT]]="",TB_Cockpit_2026[[#This Row],[SPRINT]]=0),"",TB_Cockpit_2026[[#This Row],[Dt. INÍCIO]]+(TB_Cockpit_2026[[#This Row],[SPRINT]]*15))</f>
        <v>46322</v>
      </c>
      <c r="R6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5" s="150"/>
      <c r="T6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6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6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6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6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6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5" s="43">
        <v>0</v>
      </c>
      <c r="AH65" s="17">
        <v>3</v>
      </c>
      <c r="AI65" s="17">
        <v>4</v>
      </c>
      <c r="AJ65" s="17">
        <v>4</v>
      </c>
      <c r="AK65" s="18">
        <f>+(TB_Cockpit_2026[[#This Row],[Encantar os Clientes]]*$AH$10)+(TB_Cockpit_2026[[#This Row],[Capital com Foco]]*$AJ$10)+(TB_Cockpit_2026[[#This Row],[Alta Rentabilidade]]*$AI$10)+IF(TB_Cockpit_2026[[#This Row],[u]]="u",4,0)</f>
        <v>18</v>
      </c>
      <c r="AL65" s="19">
        <v>0</v>
      </c>
      <c r="AM65" s="20">
        <v>0</v>
      </c>
      <c r="AN65" s="20">
        <v>0</v>
      </c>
      <c r="AO65" s="20">
        <v>3</v>
      </c>
      <c r="AP65" s="20">
        <v>0</v>
      </c>
      <c r="AQ65" s="21">
        <f>SUM(TB_Cockpit_2026[[#This Row],[K1]:[K5]])</f>
        <v>3</v>
      </c>
      <c r="AR65" s="27">
        <f>+TB_Cockpit_2026[[#This Row],[Relev.]]+TB_Cockpit_2026[[#This Row],[SCORE]]</f>
        <v>21</v>
      </c>
      <c r="AS6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65" s="39"/>
    </row>
    <row r="66" spans="2:46" ht="17.45" hidden="1">
      <c r="B66" s="139" t="s">
        <v>187</v>
      </c>
      <c r="C66" s="140" t="s">
        <v>18</v>
      </c>
      <c r="D66" s="141">
        <v>1</v>
      </c>
      <c r="E66" s="142" t="s">
        <v>188</v>
      </c>
      <c r="F66" s="142" t="s">
        <v>0</v>
      </c>
      <c r="G66" s="143" t="s">
        <v>64</v>
      </c>
      <c r="H66" s="142" t="s">
        <v>70</v>
      </c>
      <c r="I66" s="152" t="s">
        <v>181</v>
      </c>
      <c r="J66" s="144" t="s">
        <v>182</v>
      </c>
      <c r="K66" s="35">
        <v>0</v>
      </c>
      <c r="L66" s="145">
        <f>+IF(K66=0,0,IF(K66=1,Apoio!$H$2,IF(K66=2,Apoio!$H$3,IF(K66=3,Apoio!$H$4,IF(K66=4,Apoio!$H$5,0)))))</f>
        <v>0</v>
      </c>
      <c r="M66" s="35">
        <v>0</v>
      </c>
      <c r="N66" s="145">
        <v>200000</v>
      </c>
      <c r="O66" s="146">
        <v>24</v>
      </c>
      <c r="P66" s="147">
        <v>46023</v>
      </c>
      <c r="Q66" s="148">
        <f>+IF(OR(TB_Cockpit_2026[[#This Row],[SPRINT]]="",TB_Cockpit_2026[[#This Row],[SPRINT]]=0),"",TB_Cockpit_2026[[#This Row],[Dt. INÍCIO]]+(TB_Cockpit_2026[[#This Row],[SPRINT]]*15))</f>
        <v>46383</v>
      </c>
      <c r="R6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6" s="150"/>
      <c r="T6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6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6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6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6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6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6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6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6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66" s="43">
        <v>0</v>
      </c>
      <c r="AH66" s="17">
        <v>4</v>
      </c>
      <c r="AI66" s="17">
        <v>4</v>
      </c>
      <c r="AJ66" s="17">
        <v>4</v>
      </c>
      <c r="AK66" s="18">
        <f>+(TB_Cockpit_2026[[#This Row],[Encantar os Clientes]]*$AH$10)+(TB_Cockpit_2026[[#This Row],[Capital com Foco]]*$AJ$10)+(TB_Cockpit_2026[[#This Row],[Alta Rentabilidade]]*$AI$10)+IF(TB_Cockpit_2026[[#This Row],[u]]="u",4,0)</f>
        <v>20</v>
      </c>
      <c r="AL66" s="19">
        <v>4</v>
      </c>
      <c r="AM66" s="20">
        <v>0</v>
      </c>
      <c r="AN66" s="20">
        <v>0</v>
      </c>
      <c r="AO66" s="20">
        <v>4</v>
      </c>
      <c r="AP66" s="20">
        <v>0</v>
      </c>
      <c r="AQ66" s="21">
        <f>SUM(TB_Cockpit_2026[[#This Row],[K1]:[K5]])</f>
        <v>8</v>
      </c>
      <c r="AR66" s="27">
        <f>+TB_Cockpit_2026[[#This Row],[Relev.]]+TB_Cockpit_2026[[#This Row],[SCORE]]</f>
        <v>28</v>
      </c>
      <c r="AS6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66" s="39"/>
    </row>
    <row r="67" spans="2:46" ht="17.45" hidden="1">
      <c r="B67" s="139" t="s">
        <v>189</v>
      </c>
      <c r="C67" s="140"/>
      <c r="D67" s="141">
        <v>1</v>
      </c>
      <c r="E67" s="142" t="s">
        <v>190</v>
      </c>
      <c r="F67" s="142" t="s">
        <v>0</v>
      </c>
      <c r="G67" s="143" t="s">
        <v>75</v>
      </c>
      <c r="H67" s="142" t="s">
        <v>65</v>
      </c>
      <c r="I67" s="152" t="s">
        <v>181</v>
      </c>
      <c r="J67" s="144" t="s">
        <v>191</v>
      </c>
      <c r="K67" s="35">
        <v>0</v>
      </c>
      <c r="L67" s="145">
        <f>+IF(K67=0,0,IF(K67=1,Apoio!$H$2,IF(K67=2,Apoio!$H$3,IF(K67=3,Apoio!$H$4,IF(K67=4,Apoio!$H$5,0)))))</f>
        <v>0</v>
      </c>
      <c r="M67" s="35">
        <v>0</v>
      </c>
      <c r="N67" s="145">
        <v>100000</v>
      </c>
      <c r="O67" s="146">
        <v>4</v>
      </c>
      <c r="P67" s="147">
        <v>46023</v>
      </c>
      <c r="Q67" s="148">
        <f>+IF(OR(TB_Cockpit_2026[[#This Row],[SPRINT]]="",TB_Cockpit_2026[[#This Row],[SPRINT]]=0),"",TB_Cockpit_2026[[#This Row],[Dt. INÍCIO]]+(TB_Cockpit_2026[[#This Row],[SPRINT]]*15))</f>
        <v>46083</v>
      </c>
      <c r="R6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7" s="150"/>
      <c r="T6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6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6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6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6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6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6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7" s="43">
        <v>0</v>
      </c>
      <c r="AH67" s="17">
        <v>0</v>
      </c>
      <c r="AI67" s="17">
        <v>0</v>
      </c>
      <c r="AJ67" s="17">
        <v>0</v>
      </c>
      <c r="AK67" s="18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67" s="19">
        <v>0</v>
      </c>
      <c r="AM67" s="20">
        <v>0</v>
      </c>
      <c r="AN67" s="20">
        <v>0</v>
      </c>
      <c r="AO67" s="20">
        <v>0</v>
      </c>
      <c r="AP67" s="20">
        <v>0</v>
      </c>
      <c r="AQ67" s="21">
        <f>SUM(TB_Cockpit_2026[[#This Row],[K1]:[K5]])</f>
        <v>0</v>
      </c>
      <c r="AR67" s="27">
        <f>+TB_Cockpit_2026[[#This Row],[Relev.]]+TB_Cockpit_2026[[#This Row],[SCORE]]</f>
        <v>0</v>
      </c>
      <c r="AS6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67" s="39"/>
    </row>
    <row r="68" spans="2:46" ht="17.45">
      <c r="B68" s="139" t="s">
        <v>192</v>
      </c>
      <c r="C68" s="140"/>
      <c r="D68" s="141">
        <v>1</v>
      </c>
      <c r="E68" s="142" t="s">
        <v>193</v>
      </c>
      <c r="F68" s="142" t="s">
        <v>0</v>
      </c>
      <c r="G68" s="143" t="s">
        <v>75</v>
      </c>
      <c r="H68" s="142" t="s">
        <v>125</v>
      </c>
      <c r="I68" s="152" t="s">
        <v>194</v>
      </c>
      <c r="J68" s="144" t="s">
        <v>195</v>
      </c>
      <c r="K68" s="35">
        <v>0</v>
      </c>
      <c r="L68" s="145">
        <v>12000</v>
      </c>
      <c r="M68" s="35">
        <v>0</v>
      </c>
      <c r="N68" s="145">
        <v>48000</v>
      </c>
      <c r="O68" s="146">
        <v>24</v>
      </c>
      <c r="P68" s="147">
        <v>46023</v>
      </c>
      <c r="Q68" s="148">
        <f>+IF(OR(TB_Cockpit_2026[[#This Row],[SPRINT]]="",TB_Cockpit_2026[[#This Row],[SPRINT]]=0),"",TB_Cockpit_2026[[#This Row],[Dt. INÍCIO]]+(TB_Cockpit_2026[[#This Row],[SPRINT]]*15))</f>
        <v>46383</v>
      </c>
      <c r="R6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8" s="150"/>
      <c r="T6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6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6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6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6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6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6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6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6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68" s="43">
        <v>4</v>
      </c>
      <c r="AH68" s="17">
        <v>3</v>
      </c>
      <c r="AI68" s="17">
        <v>4</v>
      </c>
      <c r="AJ68" s="17">
        <v>4</v>
      </c>
      <c r="AK68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68" s="19">
        <v>4</v>
      </c>
      <c r="AM68" s="20">
        <v>4</v>
      </c>
      <c r="AN68" s="20">
        <v>2</v>
      </c>
      <c r="AO68" s="20">
        <v>1</v>
      </c>
      <c r="AP68" s="20">
        <v>0</v>
      </c>
      <c r="AQ68" s="21">
        <f>SUM(TB_Cockpit_2026[[#This Row],[K1]:[K5]])</f>
        <v>11</v>
      </c>
      <c r="AR68" s="27">
        <f>+TB_Cockpit_2026[[#This Row],[Relev.]]+TB_Cockpit_2026[[#This Row],[SCORE]]</f>
        <v>25</v>
      </c>
      <c r="AS6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68" s="39"/>
    </row>
    <row r="69" spans="2:46" ht="17.45" hidden="1">
      <c r="B69" s="139" t="s">
        <v>196</v>
      </c>
      <c r="C69" s="140"/>
      <c r="D69" s="141">
        <v>1</v>
      </c>
      <c r="E69" s="142" t="s">
        <v>197</v>
      </c>
      <c r="F69" s="142" t="s">
        <v>0</v>
      </c>
      <c r="G69" s="143" t="s">
        <v>64</v>
      </c>
      <c r="H69" s="142" t="s">
        <v>125</v>
      </c>
      <c r="I69" s="144" t="s">
        <v>194</v>
      </c>
      <c r="J69" s="144" t="s">
        <v>198</v>
      </c>
      <c r="K69" s="35">
        <v>0</v>
      </c>
      <c r="L69" s="145">
        <f>+IF(K69=0,0,IF(K69=1,Apoio!$H$2,IF(K69=2,Apoio!$H$3,IF(K69=3,Apoio!$H$4,IF(K69=4,Apoio!$H$5,0)))))</f>
        <v>0</v>
      </c>
      <c r="M69" s="35">
        <v>0</v>
      </c>
      <c r="N69" s="145">
        <v>50833.33</v>
      </c>
      <c r="O69" s="146">
        <v>9</v>
      </c>
      <c r="P69" s="147">
        <v>46082</v>
      </c>
      <c r="Q69" s="148">
        <f>+IF(OR(TB_Cockpit_2026[[#This Row],[SPRINT]]="",TB_Cockpit_2026[[#This Row],[SPRINT]]=0),"",TB_Cockpit_2026[[#This Row],[Dt. INÍCIO]]+(TB_Cockpit_2026[[#This Row],[SPRINT]]*15))</f>
        <v>46217</v>
      </c>
      <c r="R69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69" s="150"/>
      <c r="T69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69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69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69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69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69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69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69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69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69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69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69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69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69" s="43">
        <v>2</v>
      </c>
      <c r="AH69" s="17">
        <v>0</v>
      </c>
      <c r="AI69" s="17">
        <v>4</v>
      </c>
      <c r="AJ69" s="17">
        <v>4</v>
      </c>
      <c r="AK69" s="18">
        <f>+(TB_Cockpit_2026[[#This Row],[Encantar os Clientes]]*$AH$10)+(TB_Cockpit_2026[[#This Row],[Capital com Foco]]*$AJ$10)+(TB_Cockpit_2026[[#This Row],[Alta Rentabilidade]]*$AI$10)+IF(TB_Cockpit_2026[[#This Row],[u]]="u",4,0)</f>
        <v>8</v>
      </c>
      <c r="AL69" s="19">
        <v>0</v>
      </c>
      <c r="AM69" s="20">
        <v>4</v>
      </c>
      <c r="AN69" s="20">
        <v>1</v>
      </c>
      <c r="AO69" s="20">
        <v>0</v>
      </c>
      <c r="AP69" s="20">
        <v>1</v>
      </c>
      <c r="AQ69" s="21">
        <f>SUM(TB_Cockpit_2026[[#This Row],[K1]:[K5]])</f>
        <v>6</v>
      </c>
      <c r="AR69" s="27">
        <f>+TB_Cockpit_2026[[#This Row],[Relev.]]+TB_Cockpit_2026[[#This Row],[SCORE]]</f>
        <v>14</v>
      </c>
      <c r="AS69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69" s="39"/>
    </row>
    <row r="70" spans="2:46" ht="17.45" hidden="1">
      <c r="B70" s="139" t="s">
        <v>199</v>
      </c>
      <c r="C70" s="140" t="s">
        <v>18</v>
      </c>
      <c r="D70" s="141">
        <v>1</v>
      </c>
      <c r="E70" s="142" t="s">
        <v>200</v>
      </c>
      <c r="F70" s="142" t="s">
        <v>0</v>
      </c>
      <c r="G70" s="143" t="s">
        <v>75</v>
      </c>
      <c r="H70" s="142" t="s">
        <v>76</v>
      </c>
      <c r="I70" s="152" t="s">
        <v>194</v>
      </c>
      <c r="J70" s="144" t="s">
        <v>198</v>
      </c>
      <c r="K70" s="35">
        <v>0</v>
      </c>
      <c r="L70" s="145">
        <f>+IF(K70=0,0,IF(K70=1,Apoio!$H$2,IF(K70=2,Apoio!$H$3,IF(K70=3,Apoio!$H$4,IF(K70=4,Apoio!$H$5,0)))))</f>
        <v>0</v>
      </c>
      <c r="M70" s="35">
        <v>0</v>
      </c>
      <c r="N70" s="145">
        <f>+IF(M70=0,0,IF(M70=1,Apoio!$L$2,IF(M70=2,Apoio!$L$3,IF(M70=3,Apoio!$L$4,IF(M70=4,Apoio!$L$5,0)))))</f>
        <v>0</v>
      </c>
      <c r="O70" s="146">
        <v>24</v>
      </c>
      <c r="P70" s="147">
        <v>46023</v>
      </c>
      <c r="Q70" s="148">
        <f>+IF(OR(TB_Cockpit_2026[[#This Row],[SPRINT]]="",TB_Cockpit_2026[[#This Row],[SPRINT]]=0),"",TB_Cockpit_2026[[#This Row],[Dt. INÍCIO]]+(TB_Cockpit_2026[[#This Row],[SPRINT]]*15))</f>
        <v>46383</v>
      </c>
      <c r="R70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0" s="150"/>
      <c r="T70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0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0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0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0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0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0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0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0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0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0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0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0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0" s="43">
        <v>1</v>
      </c>
      <c r="AH70" s="17">
        <v>2</v>
      </c>
      <c r="AI70" s="17">
        <v>2</v>
      </c>
      <c r="AJ70" s="17">
        <v>2</v>
      </c>
      <c r="AK70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70" s="19">
        <v>2</v>
      </c>
      <c r="AM70" s="20">
        <v>2</v>
      </c>
      <c r="AN70" s="20">
        <v>2</v>
      </c>
      <c r="AO70" s="20">
        <v>2</v>
      </c>
      <c r="AP70" s="20">
        <v>4</v>
      </c>
      <c r="AQ70" s="21">
        <f>SUM(TB_Cockpit_2026[[#This Row],[K1]:[K5]])</f>
        <v>12</v>
      </c>
      <c r="AR70" s="27">
        <f>+TB_Cockpit_2026[[#This Row],[Relev.]]+TB_Cockpit_2026[[#This Row],[SCORE]]</f>
        <v>24</v>
      </c>
      <c r="AS70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70" s="39"/>
    </row>
    <row r="71" spans="2:46" ht="17.45" hidden="1">
      <c r="B71" s="139" t="s">
        <v>201</v>
      </c>
      <c r="C71" s="140"/>
      <c r="D71" s="141">
        <v>1</v>
      </c>
      <c r="E71" s="142" t="s">
        <v>202</v>
      </c>
      <c r="F71" s="142" t="s">
        <v>2</v>
      </c>
      <c r="G71" s="143" t="s">
        <v>75</v>
      </c>
      <c r="H71" s="142" t="s">
        <v>125</v>
      </c>
      <c r="I71" s="152" t="s">
        <v>194</v>
      </c>
      <c r="J71" s="144" t="s">
        <v>198</v>
      </c>
      <c r="K71" s="35">
        <v>0</v>
      </c>
      <c r="L71" s="145">
        <f>+IF(K71=0,0,IF(K71=1,Apoio!$H$2,IF(K71=2,Apoio!$H$3,IF(K71=3,Apoio!$H$4,IF(K71=4,Apoio!$H$5,0)))))</f>
        <v>0</v>
      </c>
      <c r="M71" s="35">
        <v>0</v>
      </c>
      <c r="N71" s="145">
        <f>+IF(M71=0,0,IF(M71=1,Apoio!$L$2,IF(M71=2,Apoio!$L$3,IF(M71=3,Apoio!$L$4,IF(M71=4,Apoio!$L$5,0)))))</f>
        <v>0</v>
      </c>
      <c r="O71" s="146">
        <v>3</v>
      </c>
      <c r="P71" s="147">
        <v>46023</v>
      </c>
      <c r="Q71" s="148">
        <f>+IF(OR(TB_Cockpit_2026[[#This Row],[SPRINT]]="",TB_Cockpit_2026[[#This Row],[SPRINT]]=0),"",TB_Cockpit_2026[[#This Row],[Dt. INÍCIO]]+(TB_Cockpit_2026[[#This Row],[SPRINT]]*15))</f>
        <v>46068</v>
      </c>
      <c r="R71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1" s="150"/>
      <c r="T71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1" s="128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1" s="128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1" s="128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/>
      </c>
      <c r="X71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71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71" s="128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71" s="128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71" s="128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71" s="128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71" s="128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71" s="128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71" s="129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71" s="43">
        <v>0</v>
      </c>
      <c r="AH71" s="35">
        <v>0</v>
      </c>
      <c r="AI71" s="35">
        <v>0</v>
      </c>
      <c r="AJ71" s="35">
        <v>0</v>
      </c>
      <c r="AK71" s="130">
        <f>+(TB_Cockpit_2026[[#This Row],[Encantar os Clientes]]*$AH$10)+(TB_Cockpit_2026[[#This Row],[Capital com Foco]]*$AJ$10)+(TB_Cockpit_2026[[#This Row],[Alta Rentabilidade]]*$AI$10)+IF(TB_Cockpit_2026[[#This Row],[u]]="u",4,0)</f>
        <v>0</v>
      </c>
      <c r="AL71" s="131">
        <v>0</v>
      </c>
      <c r="AM71" s="35">
        <v>0</v>
      </c>
      <c r="AN71" s="35">
        <v>0</v>
      </c>
      <c r="AO71" s="35">
        <v>0</v>
      </c>
      <c r="AP71" s="35">
        <v>0</v>
      </c>
      <c r="AQ71" s="21">
        <f>SUM(TB_Cockpit_2026[[#This Row],[K1]:[K5]])</f>
        <v>0</v>
      </c>
      <c r="AR71" s="27">
        <f>+TB_Cockpit_2026[[#This Row],[Relev.]]+TB_Cockpit_2026[[#This Row],[SCORE]]</f>
        <v>0</v>
      </c>
      <c r="AS71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71" s="39"/>
    </row>
    <row r="72" spans="2:46" ht="17.45">
      <c r="B72" s="139" t="s">
        <v>203</v>
      </c>
      <c r="C72" s="140"/>
      <c r="D72" s="141">
        <v>1</v>
      </c>
      <c r="E72" s="142" t="s">
        <v>204</v>
      </c>
      <c r="F72" s="142" t="s">
        <v>0</v>
      </c>
      <c r="G72" s="143" t="s">
        <v>75</v>
      </c>
      <c r="H72" s="142" t="s">
        <v>125</v>
      </c>
      <c r="I72" s="152" t="s">
        <v>194</v>
      </c>
      <c r="J72" s="144" t="s">
        <v>198</v>
      </c>
      <c r="K72" s="35">
        <v>0</v>
      </c>
      <c r="L72" s="145">
        <v>24000</v>
      </c>
      <c r="M72" s="35">
        <v>0</v>
      </c>
      <c r="N72" s="145">
        <v>90000</v>
      </c>
      <c r="O72" s="146">
        <v>20</v>
      </c>
      <c r="P72" s="147">
        <v>46082</v>
      </c>
      <c r="Q72" s="148">
        <f>+IF(OR(TB_Cockpit_2026[[#This Row],[SPRINT]]="",TB_Cockpit_2026[[#This Row],[SPRINT]]=0),"",TB_Cockpit_2026[[#This Row],[Dt. INÍCIO]]+(TB_Cockpit_2026[[#This Row],[SPRINT]]*15))</f>
        <v>46382</v>
      </c>
      <c r="R72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2" s="150"/>
      <c r="T72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2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/>
      </c>
      <c r="V72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/>
      </c>
      <c r="W72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2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2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2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2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2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2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2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2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2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2" s="43">
        <v>1</v>
      </c>
      <c r="AH72" s="17">
        <v>2</v>
      </c>
      <c r="AI72" s="17">
        <v>3</v>
      </c>
      <c r="AJ72" s="17">
        <v>4</v>
      </c>
      <c r="AK72" s="18">
        <f>+(TB_Cockpit_2026[[#This Row],[Encantar os Clientes]]*$AH$10)+(TB_Cockpit_2026[[#This Row],[Capital com Foco]]*$AJ$10)+(TB_Cockpit_2026[[#This Row],[Alta Rentabilidade]]*$AI$10)+IF(TB_Cockpit_2026[[#This Row],[u]]="u",4,0)</f>
        <v>11</v>
      </c>
      <c r="AL72" s="19">
        <v>2</v>
      </c>
      <c r="AM72" s="20">
        <v>2</v>
      </c>
      <c r="AN72" s="20">
        <v>3</v>
      </c>
      <c r="AO72" s="20">
        <v>0</v>
      </c>
      <c r="AP72" s="20">
        <v>2</v>
      </c>
      <c r="AQ72" s="21">
        <f>SUM(TB_Cockpit_2026[[#This Row],[K1]:[K5]])</f>
        <v>9</v>
      </c>
      <c r="AR72" s="27">
        <f>+TB_Cockpit_2026[[#This Row],[Relev.]]+TB_Cockpit_2026[[#This Row],[SCORE]]</f>
        <v>20</v>
      </c>
      <c r="AS72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72" s="39"/>
    </row>
    <row r="73" spans="2:46" ht="17.45" hidden="1">
      <c r="B73" s="139" t="s">
        <v>205</v>
      </c>
      <c r="C73" s="140"/>
      <c r="D73" s="141">
        <v>1</v>
      </c>
      <c r="E73" s="142" t="s">
        <v>206</v>
      </c>
      <c r="F73" s="142" t="s">
        <v>0</v>
      </c>
      <c r="G73" s="143" t="s">
        <v>75</v>
      </c>
      <c r="H73" s="142" t="s">
        <v>125</v>
      </c>
      <c r="I73" s="144" t="s">
        <v>194</v>
      </c>
      <c r="J73" s="144" t="s">
        <v>198</v>
      </c>
      <c r="K73" s="35">
        <v>0</v>
      </c>
      <c r="L73" s="145">
        <f>+IF(K73=0,0,IF(K73=1,Apoio!$H$2,IF(K73=2,Apoio!$H$3,IF(K73=3,Apoio!$H$4,IF(K73=4,Apoio!$H$5,0)))))</f>
        <v>0</v>
      </c>
      <c r="M73" s="35">
        <v>0</v>
      </c>
      <c r="N73" s="145">
        <v>240000</v>
      </c>
      <c r="O73" s="146">
        <v>24</v>
      </c>
      <c r="P73" s="147">
        <v>46027</v>
      </c>
      <c r="Q73" s="148">
        <f>+IF(OR(TB_Cockpit_2026[[#This Row],[SPRINT]]="",TB_Cockpit_2026[[#This Row],[SPRINT]]=0),"",TB_Cockpit_2026[[#This Row],[Dt. INÍCIO]]+(TB_Cockpit_2026[[#This Row],[SPRINT]]*15))</f>
        <v>46387</v>
      </c>
      <c r="R73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3" s="150"/>
      <c r="T73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3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3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3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3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3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3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3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3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3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3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3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3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3" s="43">
        <v>4</v>
      </c>
      <c r="AH73" s="17">
        <v>2</v>
      </c>
      <c r="AI73" s="17">
        <v>4</v>
      </c>
      <c r="AJ73" s="17">
        <v>4</v>
      </c>
      <c r="AK73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73" s="19">
        <v>2</v>
      </c>
      <c r="AM73" s="20">
        <v>2</v>
      </c>
      <c r="AN73" s="20">
        <v>2</v>
      </c>
      <c r="AO73" s="20">
        <v>1</v>
      </c>
      <c r="AP73" s="20">
        <v>2</v>
      </c>
      <c r="AQ73" s="21">
        <f>SUM(TB_Cockpit_2026[[#This Row],[K1]:[K5]])</f>
        <v>9</v>
      </c>
      <c r="AR73" s="27">
        <f>+TB_Cockpit_2026[[#This Row],[Relev.]]+TB_Cockpit_2026[[#This Row],[SCORE]]</f>
        <v>21</v>
      </c>
      <c r="AS73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73" s="39"/>
    </row>
    <row r="74" spans="2:46" ht="17.45">
      <c r="B74" s="139" t="s">
        <v>207</v>
      </c>
      <c r="C74" s="140"/>
      <c r="D74" s="141">
        <v>1</v>
      </c>
      <c r="E74" s="142" t="s">
        <v>208</v>
      </c>
      <c r="F74" s="142" t="s">
        <v>0</v>
      </c>
      <c r="G74" s="143" t="s">
        <v>64</v>
      </c>
      <c r="H74" s="142" t="s">
        <v>70</v>
      </c>
      <c r="I74" s="144" t="s">
        <v>194</v>
      </c>
      <c r="J74" s="144" t="s">
        <v>198</v>
      </c>
      <c r="K74" s="35">
        <v>0</v>
      </c>
      <c r="L74" s="145">
        <v>24000</v>
      </c>
      <c r="M74" s="35">
        <v>0</v>
      </c>
      <c r="N74" s="145">
        <f>+IF(M74=0,0,IF(M74=1,Apoio!$L$2,IF(M74=2,Apoio!$L$3,IF(M74=3,Apoio!$L$4,IF(M74=4,Apoio!$L$5,0)))))</f>
        <v>0</v>
      </c>
      <c r="O74" s="146">
        <v>24</v>
      </c>
      <c r="P74" s="147">
        <v>46023</v>
      </c>
      <c r="Q74" s="148">
        <f>+IF(OR(TB_Cockpit_2026[[#This Row],[SPRINT]]="",TB_Cockpit_2026[[#This Row],[SPRINT]]=0),"",TB_Cockpit_2026[[#This Row],[Dt. INÍCIO]]+(TB_Cockpit_2026[[#This Row],[SPRINT]]*15))</f>
        <v>46383</v>
      </c>
      <c r="R74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4" s="150"/>
      <c r="T74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4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4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4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4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4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4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4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4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4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4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4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4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4" s="43">
        <v>2</v>
      </c>
      <c r="AH74" s="17">
        <v>4</v>
      </c>
      <c r="AI74" s="17">
        <v>1</v>
      </c>
      <c r="AJ74" s="17">
        <v>1</v>
      </c>
      <c r="AK74" s="18">
        <f>+(TB_Cockpit_2026[[#This Row],[Encantar os Clientes]]*$AH$10)+(TB_Cockpit_2026[[#This Row],[Capital com Foco]]*$AJ$10)+(TB_Cockpit_2026[[#This Row],[Alta Rentabilidade]]*$AI$10)+IF(TB_Cockpit_2026[[#This Row],[u]]="u",4,0)</f>
        <v>10</v>
      </c>
      <c r="AL74" s="19">
        <v>0</v>
      </c>
      <c r="AM74" s="20">
        <v>0</v>
      </c>
      <c r="AN74" s="20">
        <v>0</v>
      </c>
      <c r="AO74" s="20">
        <v>1</v>
      </c>
      <c r="AP74" s="20">
        <v>2</v>
      </c>
      <c r="AQ74" s="21">
        <f>SUM(TB_Cockpit_2026[[#This Row],[K1]:[K5]])</f>
        <v>3</v>
      </c>
      <c r="AR74" s="27">
        <f>+TB_Cockpit_2026[[#This Row],[Relev.]]+TB_Cockpit_2026[[#This Row],[SCORE]]</f>
        <v>13</v>
      </c>
      <c r="AS74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Q4</v>
      </c>
      <c r="AT74" s="39"/>
    </row>
    <row r="75" spans="2:46" ht="17.45" hidden="1">
      <c r="B75" s="139" t="s">
        <v>209</v>
      </c>
      <c r="C75" s="140"/>
      <c r="D75" s="141">
        <v>1</v>
      </c>
      <c r="E75" s="142" t="s">
        <v>210</v>
      </c>
      <c r="F75" s="142" t="s">
        <v>2</v>
      </c>
      <c r="G75" s="143" t="s">
        <v>64</v>
      </c>
      <c r="H75" s="142" t="s">
        <v>70</v>
      </c>
      <c r="I75" s="144" t="s">
        <v>194</v>
      </c>
      <c r="J75" s="144" t="s">
        <v>198</v>
      </c>
      <c r="K75" s="35">
        <v>0</v>
      </c>
      <c r="L75" s="145">
        <f>+IF(K75=0,0,IF(K75=1,Apoio!$H$2,IF(K75=2,Apoio!$H$3,IF(K75=3,Apoio!$H$4,IF(K75=4,Apoio!$H$5,0)))))</f>
        <v>0</v>
      </c>
      <c r="M75" s="35">
        <v>0</v>
      </c>
      <c r="N75" s="145">
        <f>+IF(M75=0,0,IF(M75=1,Apoio!$L$2,IF(M75=2,Apoio!$L$3,IF(M75=3,Apoio!$L$4,IF(M75=4,Apoio!$L$5,0)))))</f>
        <v>0</v>
      </c>
      <c r="O75" s="146">
        <v>5</v>
      </c>
      <c r="P75" s="147">
        <v>46023</v>
      </c>
      <c r="Q75" s="148">
        <f>+IF(OR(TB_Cockpit_2026[[#This Row],[SPRINT]]="",TB_Cockpit_2026[[#This Row],[SPRINT]]=0),"",TB_Cockpit_2026[[#This Row],[Dt. INÍCIO]]+(TB_Cockpit_2026[[#This Row],[SPRINT]]*15))</f>
        <v>46098</v>
      </c>
      <c r="R75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5" s="150"/>
      <c r="T75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5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5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5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5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75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75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75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75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75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75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75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75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75" s="178">
        <v>0</v>
      </c>
      <c r="AH75" s="17">
        <v>0</v>
      </c>
      <c r="AI75" s="17">
        <v>3</v>
      </c>
      <c r="AJ75" s="17">
        <v>3</v>
      </c>
      <c r="AK75" s="18">
        <f>+(TB_Cockpit_2026[[#This Row],[Encantar os Clientes]]*$AH$10)+(TB_Cockpit_2026[[#This Row],[Capital com Foco]]*$AJ$10)+(TB_Cockpit_2026[[#This Row],[Alta Rentabilidade]]*$AI$10)+IF(TB_Cockpit_2026[[#This Row],[u]]="u",4,0)</f>
        <v>6</v>
      </c>
      <c r="AL75" s="180">
        <v>3</v>
      </c>
      <c r="AM75" s="20">
        <v>3</v>
      </c>
      <c r="AN75" s="20">
        <v>3</v>
      </c>
      <c r="AO75" s="20">
        <v>3</v>
      </c>
      <c r="AP75" s="20">
        <v>0</v>
      </c>
      <c r="AQ75" s="21">
        <f>SUM(TB_Cockpit_2026[[#This Row],[K1]:[K5]])</f>
        <v>12</v>
      </c>
      <c r="AR75" s="27">
        <f>+TB_Cockpit_2026[[#This Row],[Relev.]]+TB_Cockpit_2026[[#This Row],[SCORE]]</f>
        <v>18</v>
      </c>
      <c r="AS75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Q2</v>
      </c>
      <c r="AT75" s="39"/>
    </row>
    <row r="76" spans="2:46" ht="17.45">
      <c r="B76" s="139" t="s">
        <v>211</v>
      </c>
      <c r="C76" s="140" t="s">
        <v>18</v>
      </c>
      <c r="D76" s="141">
        <v>1</v>
      </c>
      <c r="E76" s="142" t="s">
        <v>212</v>
      </c>
      <c r="F76" s="142" t="s">
        <v>0</v>
      </c>
      <c r="G76" s="143" t="s">
        <v>75</v>
      </c>
      <c r="H76" s="142" t="s">
        <v>65</v>
      </c>
      <c r="I76" s="152" t="s">
        <v>194</v>
      </c>
      <c r="J76" s="144" t="s">
        <v>198</v>
      </c>
      <c r="K76" s="35">
        <v>0</v>
      </c>
      <c r="L76" s="145">
        <v>90000</v>
      </c>
      <c r="M76" s="35">
        <v>0</v>
      </c>
      <c r="N76" s="145">
        <f>+IF(M76=0,0,IF(M76=1,Apoio!$L$2,IF(M76=2,Apoio!$L$3,IF(M76=3,Apoio!$L$4,IF(M76=4,Apoio!$L$5,0)))))</f>
        <v>0</v>
      </c>
      <c r="O76" s="146">
        <v>24</v>
      </c>
      <c r="P76" s="147">
        <v>46023</v>
      </c>
      <c r="Q76" s="148">
        <f>+IF(OR(TB_Cockpit_2026[[#This Row],[SPRINT]]="",TB_Cockpit_2026[[#This Row],[SPRINT]]=0),"",TB_Cockpit_2026[[#This Row],[Dt. INÍCIO]]+(TB_Cockpit_2026[[#This Row],[SPRINT]]*15))</f>
        <v>46383</v>
      </c>
      <c r="R76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6" s="150"/>
      <c r="T76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6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6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6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6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6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6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6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6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6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6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6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6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6" s="178">
        <v>2</v>
      </c>
      <c r="AH76" s="17">
        <v>1</v>
      </c>
      <c r="AI76" s="17">
        <v>4</v>
      </c>
      <c r="AJ76" s="17">
        <v>4</v>
      </c>
      <c r="AK76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76" s="180">
        <v>0</v>
      </c>
      <c r="AM76" s="20">
        <v>4</v>
      </c>
      <c r="AN76" s="20">
        <v>2</v>
      </c>
      <c r="AO76" s="20">
        <v>4</v>
      </c>
      <c r="AP76" s="20">
        <v>4</v>
      </c>
      <c r="AQ76" s="21">
        <f>SUM(TB_Cockpit_2026[[#This Row],[K1]:[K5]])</f>
        <v>14</v>
      </c>
      <c r="AR76" s="27">
        <f>+TB_Cockpit_2026[[#This Row],[Relev.]]+TB_Cockpit_2026[[#This Row],[SCORE]]</f>
        <v>28</v>
      </c>
      <c r="AS76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Q1</v>
      </c>
      <c r="AT76" s="39"/>
    </row>
    <row r="77" spans="2:46" ht="17.45" hidden="1">
      <c r="B77" s="139" t="s">
        <v>213</v>
      </c>
      <c r="C77" s="140"/>
      <c r="D77" s="141">
        <v>1</v>
      </c>
      <c r="E77" s="142" t="s">
        <v>214</v>
      </c>
      <c r="F77" s="142" t="s">
        <v>0</v>
      </c>
      <c r="G77" s="143" t="s">
        <v>64</v>
      </c>
      <c r="H77" s="142" t="s">
        <v>70</v>
      </c>
      <c r="I77" s="144" t="s">
        <v>194</v>
      </c>
      <c r="J77" s="144" t="s">
        <v>198</v>
      </c>
      <c r="K77" s="35">
        <v>0</v>
      </c>
      <c r="L77" s="145">
        <f>+IF(K77=0,0,IF(K77=1,Apoio!$H$2,IF(K77=2,Apoio!$H$3,IF(K77=3,Apoio!$H$4,IF(K77=4,Apoio!$H$5,0)))))</f>
        <v>0</v>
      </c>
      <c r="M77" s="35">
        <v>0</v>
      </c>
      <c r="N77" s="145">
        <v>48000</v>
      </c>
      <c r="O77" s="146">
        <v>24</v>
      </c>
      <c r="P77" s="147">
        <v>46023</v>
      </c>
      <c r="Q77" s="148">
        <f>+IF(OR(TB_Cockpit_2026[[#This Row],[SPRINT]]="",TB_Cockpit_2026[[#This Row],[SPRINT]]=0),"",TB_Cockpit_2026[[#This Row],[Dt. INÍCIO]]+(TB_Cockpit_2026[[#This Row],[SPRINT]]*15))</f>
        <v>46383</v>
      </c>
      <c r="R77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7" s="150"/>
      <c r="T77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7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7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7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7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>x</v>
      </c>
      <c r="Y77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>x</v>
      </c>
      <c r="Z77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>x</v>
      </c>
      <c r="AA77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>x</v>
      </c>
      <c r="AB77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>x</v>
      </c>
      <c r="AC77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>x</v>
      </c>
      <c r="AD77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>x</v>
      </c>
      <c r="AE77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>x</v>
      </c>
      <c r="AF77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>x</v>
      </c>
      <c r="AG77" s="178">
        <v>1</v>
      </c>
      <c r="AH77" s="17">
        <v>4</v>
      </c>
      <c r="AI77" s="17">
        <v>2</v>
      </c>
      <c r="AJ77" s="17">
        <v>2</v>
      </c>
      <c r="AK77" s="18">
        <f>+(TB_Cockpit_2026[[#This Row],[Encantar os Clientes]]*$AH$10)+(TB_Cockpit_2026[[#This Row],[Capital com Foco]]*$AJ$10)+(TB_Cockpit_2026[[#This Row],[Alta Rentabilidade]]*$AI$10)+IF(TB_Cockpit_2026[[#This Row],[u]]="u",4,0)</f>
        <v>12</v>
      </c>
      <c r="AL77" s="180">
        <v>1</v>
      </c>
      <c r="AM77" s="20">
        <v>1</v>
      </c>
      <c r="AN77" s="20">
        <v>1</v>
      </c>
      <c r="AO77" s="20">
        <v>1</v>
      </c>
      <c r="AP77" s="20">
        <v>4</v>
      </c>
      <c r="AQ77" s="21">
        <f>SUM(TB_Cockpit_2026[[#This Row],[K1]:[K5]])</f>
        <v>8</v>
      </c>
      <c r="AR77" s="27">
        <f>+TB_Cockpit_2026[[#This Row],[Relev.]]+TB_Cockpit_2026[[#This Row],[SCORE]]</f>
        <v>20</v>
      </c>
      <c r="AS77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77" s="39"/>
    </row>
    <row r="78" spans="2:46" ht="17.45" hidden="1">
      <c r="B78" s="139" t="s">
        <v>215</v>
      </c>
      <c r="C78" s="140" t="s">
        <v>18</v>
      </c>
      <c r="D78" s="141">
        <v>1</v>
      </c>
      <c r="E78" s="142" t="s">
        <v>216</v>
      </c>
      <c r="F78" s="142" t="s">
        <v>0</v>
      </c>
      <c r="G78" s="143" t="s">
        <v>64</v>
      </c>
      <c r="H78" s="142" t="s">
        <v>76</v>
      </c>
      <c r="I78" s="152" t="s">
        <v>194</v>
      </c>
      <c r="J78" s="144" t="s">
        <v>198</v>
      </c>
      <c r="K78" s="35">
        <v>0</v>
      </c>
      <c r="L78" s="145">
        <f>+IF(K78=0,0,IF(K78=1,Apoio!$H$2,IF(K78=2,Apoio!$H$3,IF(K78=3,Apoio!$H$4,IF(K78=4,Apoio!$H$5,0)))))</f>
        <v>0</v>
      </c>
      <c r="M78" s="35">
        <v>0</v>
      </c>
      <c r="N78" s="145">
        <f>+IF(M78=0,0,IF(M78=1,Apoio!$L$2,IF(M78=2,Apoio!$L$3,IF(M78=3,Apoio!$L$4,IF(M78=4,Apoio!$L$5,0)))))</f>
        <v>0</v>
      </c>
      <c r="O78" s="146">
        <v>5</v>
      </c>
      <c r="P78" s="147">
        <v>46023</v>
      </c>
      <c r="Q78" s="148">
        <f>+IF(OR(TB_Cockpit_2026[[#This Row],[SPRINT]]="",TB_Cockpit_2026[[#This Row],[SPRINT]]=0),"",TB_Cockpit_2026[[#This Row],[Dt. INÍCIO]]+(TB_Cockpit_2026[[#This Row],[SPRINT]]*15))</f>
        <v>46098</v>
      </c>
      <c r="R78" s="149">
        <f ca="1">+IF(TB_Cockpit_2026[[#This Row],[Dt. INÍCIO]]&lt;&gt;"",IF(TB_Cockpit_2026[[#This Row],[Dt. INÍCIO]]&gt;TODAY(),0,(TODAY()-TB_Cockpit_2026[[#This Row],[Dt. INÍCIO]])/(TB_Cockpit_2026[[#This Row],[TÉRMINO]]-TB_Cockpit_2026[[#This Row],[Dt. INÍCIO]])),"")</f>
        <v>0</v>
      </c>
      <c r="S78" s="150"/>
      <c r="T78" s="40">
        <f ca="1">+IF(TB_Cockpit_2026[[#This Row],[%Prev.]]=0,1,IF(TB_Cockpit_2026[[#This Row],[%Real]]&lt;TB_Cockpit_2026[[#This Row],[%Prev.]],0,IF(AND(TB_Cockpit_2026[[#This Row],[%Prev.]]&lt;&gt;"",TB_Cockpit_2026[[#This Row],[%Real]]=""),0,IF(TB_Cockpit_2026[[#This Row],[%Real]]&gt;=TB_Cockpit_2026[[#This Row],[%Prev.]],2,1))))</f>
        <v>1</v>
      </c>
      <c r="U78" s="40" t="str">
        <f>+IF(OR(TB_Cockpit_2026[[#This Row],[Dt. INÍCIO]]="",TB_Cockpit_2026[[#This Row],[SPRINT]]=0),"",IF(VALUE(YEAR(TB_Cockpit_2026[[#This Row],[Dt. INÍCIO]]) &amp; RIGHT("00"&amp;MONTH(TB_Cockpit_2026[[#This Row],[Dt. INÍCIO]]),2))&lt;=202601,
  IF(VALUE(YEAR(TB_Cockpit_2026[[#This Row],[TÉRMINO]]) &amp; RIGHT("00"&amp;MONTH(TB_Cockpit_2026[[#This Row],[TÉRMINO]]),2))&gt;=202601,"x",""),""))</f>
        <v>x</v>
      </c>
      <c r="V78" s="40" t="str">
        <f>+IF(OR(TB_Cockpit_2026[[#This Row],[Dt. INÍCIO]]="",TB_Cockpit_2026[[#This Row],[SPRINT]]=0),"",IF(VALUE(YEAR(TB_Cockpit_2026[[#This Row],[Dt. INÍCIO]]) &amp; RIGHT("00"&amp;MONTH(TB_Cockpit_2026[[#This Row],[Dt. INÍCIO]]),2))&lt;=202602,
  IF(VALUE(YEAR(TB_Cockpit_2026[[#This Row],[TÉRMINO]]) &amp; RIGHT("00"&amp;MONTH(TB_Cockpit_2026[[#This Row],[TÉRMINO]]),2))&gt;=202602,"x",""),""))</f>
        <v>x</v>
      </c>
      <c r="W78" s="40" t="str">
        <f>+IF(OR(TB_Cockpit_2026[[#This Row],[Dt. INÍCIO]]="",TB_Cockpit_2026[[#This Row],[SPRINT]]=0),"",IF(VALUE(YEAR(TB_Cockpit_2026[[#This Row],[Dt. INÍCIO]]) &amp; RIGHT("00"&amp;MONTH(TB_Cockpit_2026[[#This Row],[Dt. INÍCIO]]),2))&lt;=202603,
  IF(VALUE(YEAR(TB_Cockpit_2026[[#This Row],[TÉRMINO]]) &amp; RIGHT("00"&amp;MONTH(TB_Cockpit_2026[[#This Row],[TÉRMINO]]),2))&gt;=202603,"x",""),""))</f>
        <v>x</v>
      </c>
      <c r="X78" s="151" t="str">
        <f>+IF(OR(TB_Cockpit_2026[[#This Row],[Dt. INÍCIO]]="",TB_Cockpit_2026[[#This Row],[SPRINT]]=0),"",IF(VALUE(YEAR(TB_Cockpit_2026[[#This Row],[Dt. INÍCIO]]) &amp; RIGHT("00"&amp;MONTH(TB_Cockpit_2026[[#This Row],[Dt. INÍCIO]]),2))&lt;=202604,
  IF(VALUE(YEAR(TB_Cockpit_2026[[#This Row],[TÉRMINO]]) &amp; RIGHT("00"&amp;MONTH(TB_Cockpit_2026[[#This Row],[TÉRMINO]]),2))&gt;=202604,"x",""),""))</f>
        <v/>
      </c>
      <c r="Y78" s="151" t="str">
        <f>+IF(OR(TB_Cockpit_2026[[#This Row],[Dt. INÍCIO]]="",TB_Cockpit_2026[[#This Row],[SPRINT]]=0),"",IF(VALUE(YEAR(TB_Cockpit_2026[[#This Row],[Dt. INÍCIO]]) &amp; RIGHT("00"&amp;MONTH(TB_Cockpit_2026[[#This Row],[Dt. INÍCIO]]),2))&lt;=202605,
  IF(VALUE(YEAR(TB_Cockpit_2026[[#This Row],[TÉRMINO]]) &amp; RIGHT("00"&amp;MONTH(TB_Cockpit_2026[[#This Row],[TÉRMINO]]),2))&gt;=202605,"x",""),""))</f>
        <v/>
      </c>
      <c r="Z78" s="40" t="str">
        <f>+IF(OR(TB_Cockpit_2026[[#This Row],[Dt. INÍCIO]]="",TB_Cockpit_2026[[#This Row],[SPRINT]]=0),"",IF(VALUE(YEAR(TB_Cockpit_2026[[#This Row],[Dt. INÍCIO]]) &amp; RIGHT("00"&amp;MONTH(TB_Cockpit_2026[[#This Row],[Dt. INÍCIO]]),2))&lt;=202606,
  IF(VALUE(YEAR(TB_Cockpit_2026[[#This Row],[TÉRMINO]]) &amp; RIGHT("00"&amp;MONTH(TB_Cockpit_2026[[#This Row],[TÉRMINO]]),2))&gt;=202606,"x",""),""))</f>
        <v/>
      </c>
      <c r="AA78" s="40" t="str">
        <f>+IF(OR(TB_Cockpit_2026[[#This Row],[Dt. INÍCIO]]="",TB_Cockpit_2026[[#This Row],[SPRINT]]=0),"",IF(VALUE(YEAR(TB_Cockpit_2026[[#This Row],[Dt. INÍCIO]]) &amp; RIGHT("00"&amp;MONTH(TB_Cockpit_2026[[#This Row],[Dt. INÍCIO]]),2))&lt;=202607,
  IF(VALUE(YEAR(TB_Cockpit_2026[[#This Row],[TÉRMINO]]) &amp; RIGHT("00"&amp;MONTH(TB_Cockpit_2026[[#This Row],[TÉRMINO]]),2))&gt;=202607,"x",""),""))</f>
        <v/>
      </c>
      <c r="AB78" s="40" t="str">
        <f>+IF(OR(TB_Cockpit_2026[[#This Row],[Dt. INÍCIO]]="",TB_Cockpit_2026[[#This Row],[SPRINT]]=0),"",IF(VALUE(YEAR(TB_Cockpit_2026[[#This Row],[Dt. INÍCIO]]) &amp; RIGHT("00"&amp;MONTH(TB_Cockpit_2026[[#This Row],[Dt. INÍCIO]]),2))&lt;=202608,
  IF(VALUE(YEAR(TB_Cockpit_2026[[#This Row],[TÉRMINO]]) &amp; RIGHT("00"&amp;MONTH(TB_Cockpit_2026[[#This Row],[TÉRMINO]]),2))&gt;=202608,"x",""),""))</f>
        <v/>
      </c>
      <c r="AC78" s="40" t="str">
        <f>+IF(OR(TB_Cockpit_2026[[#This Row],[Dt. INÍCIO]]="",TB_Cockpit_2026[[#This Row],[SPRINT]]=0),"",IF(VALUE(YEAR(TB_Cockpit_2026[[#This Row],[Dt. INÍCIO]]) &amp; RIGHT("00"&amp;MONTH(TB_Cockpit_2026[[#This Row],[Dt. INÍCIO]]),2))&lt;=202609,
  IF(VALUE(YEAR(TB_Cockpit_2026[[#This Row],[TÉRMINO]]) &amp; RIGHT("00"&amp;MONTH(TB_Cockpit_2026[[#This Row],[TÉRMINO]]),2))&gt;=202609,"x",""),""))</f>
        <v/>
      </c>
      <c r="AD78" s="40" t="str">
        <f>+IF(OR(TB_Cockpit_2026[[#This Row],[Dt. INÍCIO]]="",TB_Cockpit_2026[[#This Row],[SPRINT]]=0),"",IF(VALUE(YEAR(TB_Cockpit_2026[[#This Row],[Dt. INÍCIO]]) &amp; RIGHT("00"&amp;MONTH(TB_Cockpit_2026[[#This Row],[Dt. INÍCIO]]),2))&lt;=202610,
  IF(VALUE(YEAR(TB_Cockpit_2026[[#This Row],[TÉRMINO]]) &amp; RIGHT("00"&amp;MONTH(TB_Cockpit_2026[[#This Row],[TÉRMINO]]),2))&gt;=202610,"x",""),""))</f>
        <v/>
      </c>
      <c r="AE78" s="40" t="str">
        <f>+IF(OR(TB_Cockpit_2026[[#This Row],[Dt. INÍCIO]]="",TB_Cockpit_2026[[#This Row],[SPRINT]]=0),"",IF(VALUE(YEAR(TB_Cockpit_2026[[#This Row],[Dt. INÍCIO]]) &amp; RIGHT("00"&amp;MONTH(TB_Cockpit_2026[[#This Row],[Dt. INÍCIO]]),2))&lt;=202611,
  IF(VALUE(YEAR(TB_Cockpit_2026[[#This Row],[TÉRMINO]]) &amp; RIGHT("00"&amp;MONTH(TB_Cockpit_2026[[#This Row],[TÉRMINO]]),2))&gt;=202611,"x",""),""))</f>
        <v/>
      </c>
      <c r="AF78" s="41" t="str">
        <f>+IF(OR(TB_Cockpit_2026[[#This Row],[Dt. INÍCIO]]="",TB_Cockpit_2026[[#This Row],[SPRINT]]=0),"",IF(VALUE(YEAR(TB_Cockpit_2026[[#This Row],[Dt. INÍCIO]]) &amp; RIGHT("00"&amp;MONTH(TB_Cockpit_2026[[#This Row],[Dt. INÍCIO]]),2))&lt;=202612,
  IF(VALUE(YEAR(TB_Cockpit_2026[[#This Row],[TÉRMINO]]) &amp; RIGHT("00"&amp;MONTH(TB_Cockpit_2026[[#This Row],[TÉRMINO]]),2))&gt;=202612,"x",""),""))</f>
        <v/>
      </c>
      <c r="AG78" s="43">
        <v>0</v>
      </c>
      <c r="AH78" s="17">
        <v>3</v>
      </c>
      <c r="AI78" s="17">
        <v>2</v>
      </c>
      <c r="AJ78" s="17">
        <v>2</v>
      </c>
      <c r="AK78" s="18">
        <f>+(TB_Cockpit_2026[[#This Row],[Encantar os Clientes]]*$AH$10)+(TB_Cockpit_2026[[#This Row],[Capital com Foco]]*$AJ$10)+(TB_Cockpit_2026[[#This Row],[Alta Rentabilidade]]*$AI$10)+IF(TB_Cockpit_2026[[#This Row],[u]]="u",4,0)</f>
        <v>14</v>
      </c>
      <c r="AL78" s="19">
        <v>1</v>
      </c>
      <c r="AM78" s="20">
        <v>1</v>
      </c>
      <c r="AN78" s="20">
        <v>3</v>
      </c>
      <c r="AO78" s="20">
        <v>0</v>
      </c>
      <c r="AP78" s="20">
        <v>4</v>
      </c>
      <c r="AQ78" s="21">
        <f>SUM(TB_Cockpit_2026[[#This Row],[K1]:[K5]])</f>
        <v>9</v>
      </c>
      <c r="AR78" s="27">
        <f>+TB_Cockpit_2026[[#This Row],[Relev.]]+TB_Cockpit_2026[[#This Row],[SCORE]]</f>
        <v>23</v>
      </c>
      <c r="AS78" s="27" t="str">
        <f>+IF(AND(TB_Cockpit_2026[[#This Row],[SCORE]]&lt;=10,TB_Cockpit_2026[[#This Row],[Relev.]]&lt;=10),"Q4",IF(AND(TB_Cockpit_2026[[#This Row],[SCORE]]&gt;=11,TB_Cockpit_2026[[#This Row],[Relev.]]&lt;=10),"Q3",IF(AND(TB_Cockpit_2026[[#This Row],[SCORE]]&lt;=10,TB_Cockpit_2026[[#This Row],[Relev.]]&gt;=11),"Q2",IF(AND(TB_Cockpit_2026[[#This Row],[SCORE]]&gt;=11,TB_Cockpit_2026[[#This Row],[Relev.]]&gt;=11),"Q1",""))))</f>
        <v>Q3</v>
      </c>
      <c r="AT78" s="39"/>
    </row>
    <row r="79" spans="2:46" ht="15" thickBot="1">
      <c r="B79" s="154"/>
      <c r="C79" s="49"/>
      <c r="D79" s="49"/>
      <c r="E79" s="126">
        <f>SUBTOTAL(103,TB_Cockpit_2026[INICIATIVAS PORTFÓLIO 2026])</f>
        <v>31</v>
      </c>
      <c r="F79" s="126"/>
      <c r="G79" s="126"/>
      <c r="H79" s="126"/>
      <c r="I79" s="155"/>
      <c r="J79" s="155"/>
      <c r="K79" s="155"/>
      <c r="L79" s="155"/>
      <c r="M79" s="155"/>
      <c r="N79" s="155"/>
      <c r="O79" s="156"/>
      <c r="P79" s="49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7"/>
      <c r="AG79" s="123"/>
      <c r="AH79" s="123"/>
      <c r="AI79" s="123"/>
      <c r="AJ79" s="122"/>
      <c r="AK79" s="121"/>
      <c r="AL79" s="125"/>
      <c r="AM79" s="124"/>
      <c r="AN79" s="124"/>
      <c r="AO79" s="124"/>
      <c r="AP79" s="124"/>
      <c r="AT79" s="37"/>
    </row>
    <row r="80" spans="2:46" ht="15" thickTop="1"/>
  </sheetData>
  <sheetProtection selectLockedCells="1" autoFilter="0"/>
  <mergeCells count="17">
    <mergeCell ref="AL1:AS2"/>
    <mergeCell ref="AL5:AM5"/>
    <mergeCell ref="AL3:AM3"/>
    <mergeCell ref="AL4:AM4"/>
    <mergeCell ref="AN5:AT5"/>
    <mergeCell ref="AN4:AT4"/>
    <mergeCell ref="AN3:AT3"/>
    <mergeCell ref="U10:AF10"/>
    <mergeCell ref="AL10:AP10"/>
    <mergeCell ref="K10:L10"/>
    <mergeCell ref="M10:N10"/>
    <mergeCell ref="AL6:AM6"/>
    <mergeCell ref="AL7:AM7"/>
    <mergeCell ref="AH8:AJ8"/>
    <mergeCell ref="AH9:AJ9"/>
    <mergeCell ref="AN6:AT6"/>
    <mergeCell ref="AN7:AT7"/>
  </mergeCells>
  <phoneticPr fontId="4" type="noConversion"/>
  <conditionalFormatting sqref="U12:AF78">
    <cfRule type="cellIs" dxfId="95" priority="23" operator="equal">
      <formula>"x"</formula>
    </cfRule>
  </conditionalFormatting>
  <conditionalFormatting sqref="M51:M66 K51:K66">
    <cfRule type="iconSet" priority="3170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H51:AJ66">
    <cfRule type="iconSet" priority="3174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L51:AP66">
    <cfRule type="iconSet" priority="3178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K12:K38 M12:M38">
    <cfRule type="iconSet" priority="3248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H12:AJ38">
    <cfRule type="iconSet" priority="3252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L12:AP38">
    <cfRule type="iconSet" priority="3256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K42:K50 M42:M50">
    <cfRule type="iconSet" priority="3282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H42:AJ50">
    <cfRule type="iconSet" priority="3285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L42:AP50">
    <cfRule type="iconSet" priority="3286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M39:M41 K39:K41">
    <cfRule type="iconSet" priority="3303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H39:AJ41">
    <cfRule type="iconSet" priority="3307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L39:AP41">
    <cfRule type="iconSet" priority="3311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M67:M78 K67:K78">
    <cfRule type="iconSet" priority="3345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H67:AJ78">
    <cfRule type="iconSet" priority="3349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AL67:AP78">
    <cfRule type="iconSet" priority="3351">
      <iconSet iconSet="5Rating" showValue="0">
        <cfvo type="percent" val="0"/>
        <cfvo type="num" val="1"/>
        <cfvo type="num" val="2"/>
        <cfvo type="num" val="3"/>
        <cfvo type="num" val="4"/>
      </iconSet>
    </cfRule>
  </conditionalFormatting>
  <conditionalFormatting sqref="T12:T78">
    <cfRule type="iconSet" priority="3353">
      <iconSet iconSet="3Symbols" showValue="0">
        <cfvo type="percent" val="0"/>
        <cfvo type="num" val="1"/>
        <cfvo type="num" val="2"/>
      </iconSet>
    </cfRule>
  </conditionalFormatting>
  <dataValidations count="4">
    <dataValidation type="list" allowBlank="1" showInputMessage="1" showErrorMessage="1" sqref="M12:M78 K12:K78 AH12:AJ78 AL12:AP78" xr:uid="{863F5813-6756-4F7F-BCF6-791AC40CB573}">
      <formula1>"0,1,2,3,4"</formula1>
    </dataValidation>
    <dataValidation type="list" allowBlank="1" showInputMessage="1" showErrorMessage="1" sqref="G12:G78" xr:uid="{F6F5F97D-9448-47C6-85E0-F85E74F7FD7D}">
      <formula1>"BBF, Evolução"</formula1>
    </dataValidation>
    <dataValidation type="list" allowBlank="1" showInputMessage="1" showErrorMessage="1" sqref="H12:H78" xr:uid="{3E8BC3D8-7609-4860-B614-4F9CA54C31E8}">
      <formula1>"Ideia, Discussão, Demanda, Projeto, "</formula1>
    </dataValidation>
    <dataValidation type="list" allowBlank="1" showInputMessage="1" showErrorMessage="1" sqref="F12:F78" xr:uid="{61D42822-5ABA-47F5-BECF-9720C503E785}">
      <formula1>"Estratégico, Operacional"</formula1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  <headerFooter>
    <oddFooter>&amp;L_x000D_&amp;1#&amp;"Calibri"&amp;10&amp;K000000 Classificação: Público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76" id="{22B7C4B2-7ACF-4F58-907A-162F806C0EAD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AG51:AG66</xm:sqref>
        </x14:conditionalFormatting>
        <x14:conditionalFormatting xmlns:xm="http://schemas.microsoft.com/office/excel/2006/main">
          <x14:cfRule type="iconSet" priority="3254" id="{148AFDCA-1224-455C-8319-8BA7A2EA40C1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AG12:AG38</xm:sqref>
        </x14:conditionalFormatting>
        <x14:conditionalFormatting xmlns:xm="http://schemas.microsoft.com/office/excel/2006/main">
          <x14:cfRule type="iconSet" priority="3284" id="{629B1DAD-8E79-4FD4-A321-8AF3EFFCDBBD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AG42:AG50</xm:sqref>
        </x14:conditionalFormatting>
        <x14:conditionalFormatting xmlns:xm="http://schemas.microsoft.com/office/excel/2006/main">
          <x14:cfRule type="iconSet" priority="3309" id="{323C95F6-6FBA-447B-B8BA-568840829C66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AG39:AG41</xm:sqref>
        </x14:conditionalFormatting>
        <x14:conditionalFormatting xmlns:xm="http://schemas.microsoft.com/office/excel/2006/main">
          <x14:cfRule type="iconSet" priority="3355" id="{58AF759D-C30C-4C50-B6D9-EADF09E4D149}">
            <x14:iconSet iconSet="5Boxes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</x14:iconSet>
          </x14:cfRule>
          <xm:sqref>AG67:AG78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8639-13A5-429E-A58E-73CDB8D53D86}">
  <sheetPr codeName="Planilha6"/>
  <dimension ref="A1:X36"/>
  <sheetViews>
    <sheetView showGridLines="0" showRowColHeaders="0" zoomScale="95" zoomScaleNormal="95" workbookViewId="0">
      <selection activeCell="O19" sqref="O19"/>
    </sheetView>
  </sheetViews>
  <sheetFormatPr defaultColWidth="8.85546875" defaultRowHeight="14.45"/>
  <cols>
    <col min="9" max="9" width="7.28515625" customWidth="1"/>
    <col min="10" max="10" width="8.28515625" hidden="1" customWidth="1"/>
    <col min="11" max="11" width="0.42578125" hidden="1" customWidth="1"/>
    <col min="12" max="12" width="1.42578125" hidden="1" customWidth="1"/>
    <col min="13" max="13" width="3.7109375" customWidth="1"/>
    <col min="14" max="14" width="60.42578125" customWidth="1"/>
    <col min="15" max="15" width="13.7109375" bestFit="1" customWidth="1"/>
    <col min="16" max="16" width="16" customWidth="1"/>
    <col min="17" max="17" width="4.28515625" customWidth="1"/>
    <col min="18" max="18" width="3.7109375" style="37" customWidth="1"/>
    <col min="19" max="19" width="11.140625" customWidth="1"/>
    <col min="20" max="20" width="5.42578125" customWidth="1"/>
    <col min="21" max="21" width="5.5703125" bestFit="1" customWidth="1"/>
    <col min="22" max="22" width="11.42578125" bestFit="1" customWidth="1"/>
    <col min="23" max="23" width="13.140625" bestFit="1" customWidth="1"/>
    <col min="24" max="24" width="24.42578125" bestFit="1" customWidth="1"/>
  </cols>
  <sheetData>
    <row r="1" spans="7:24">
      <c r="R1"/>
      <c r="S1" s="37"/>
      <c r="V1" s="118">
        <f>SUM(V4:V33)</f>
        <v>268000</v>
      </c>
      <c r="W1" s="118">
        <f>SUM(W4:W33)</f>
        <v>3254000</v>
      </c>
    </row>
    <row r="2" spans="7:24" ht="15" thickBot="1">
      <c r="R2"/>
      <c r="S2" s="37"/>
      <c r="V2" s="94">
        <f>+IF('Iniciativas 2026'!K10=0,0,V1/'Iniciativas 2026'!K10)</f>
        <v>0.65365853658536588</v>
      </c>
      <c r="W2" s="94">
        <f>+IF('Iniciativas 2026'!M10=0,0,W1/'Iniciativas 2026'!M10)</f>
        <v>7.4123006833712983</v>
      </c>
    </row>
    <row r="3" spans="7:24" ht="17.45">
      <c r="M3" s="58" t="s">
        <v>217</v>
      </c>
      <c r="N3" s="59" t="s">
        <v>218</v>
      </c>
      <c r="O3" s="59" t="s">
        <v>21</v>
      </c>
      <c r="P3" s="60" t="s">
        <v>24</v>
      </c>
      <c r="Q3" s="61" t="s">
        <v>18</v>
      </c>
      <c r="R3" s="60" t="s">
        <v>219</v>
      </c>
      <c r="S3" s="62" t="s">
        <v>220</v>
      </c>
      <c r="T3" s="60" t="s">
        <v>221</v>
      </c>
      <c r="U3" s="63" t="s">
        <v>48</v>
      </c>
      <c r="V3" s="89" t="s">
        <v>26</v>
      </c>
      <c r="W3" s="90" t="s">
        <v>28</v>
      </c>
      <c r="X3" s="91" t="s">
        <v>222</v>
      </c>
    </row>
    <row r="4" spans="7:24" ht="15.6" customHeight="1">
      <c r="M4" s="64">
        <v>1</v>
      </c>
      <c r="N4" s="23" t="s">
        <v>108</v>
      </c>
      <c r="O4" s="23" t="s">
        <v>0</v>
      </c>
      <c r="P4" s="23" t="s">
        <v>66</v>
      </c>
      <c r="Q4" s="24" t="s">
        <v>18</v>
      </c>
      <c r="R4" s="23">
        <v>39</v>
      </c>
      <c r="S4" s="102" t="s">
        <v>65</v>
      </c>
      <c r="T4" s="52" t="s">
        <v>223</v>
      </c>
      <c r="U4" s="53" t="s">
        <v>224</v>
      </c>
      <c r="V4" s="110">
        <v>20000</v>
      </c>
      <c r="W4" s="110">
        <v>2000</v>
      </c>
      <c r="X4" s="95" t="s">
        <v>26</v>
      </c>
    </row>
    <row r="5" spans="7:24" ht="15.6" customHeight="1">
      <c r="M5" s="64">
        <f>+M4+1</f>
        <v>2</v>
      </c>
      <c r="N5" s="23" t="s">
        <v>74</v>
      </c>
      <c r="O5" s="23" t="s">
        <v>0</v>
      </c>
      <c r="P5" s="23" t="s">
        <v>66</v>
      </c>
      <c r="Q5" s="24" t="s">
        <v>18</v>
      </c>
      <c r="R5" s="23">
        <v>37</v>
      </c>
      <c r="S5" s="102" t="s">
        <v>76</v>
      </c>
      <c r="T5" s="52" t="s">
        <v>223</v>
      </c>
      <c r="U5" s="53" t="s">
        <v>225</v>
      </c>
      <c r="V5" s="110">
        <v>0</v>
      </c>
      <c r="W5" s="110">
        <v>7000</v>
      </c>
      <c r="X5" s="212">
        <f>SUM(V4:V13)</f>
        <v>56000</v>
      </c>
    </row>
    <row r="6" spans="7:24" ht="15.6" customHeight="1">
      <c r="G6" s="2"/>
      <c r="H6" s="2"/>
      <c r="M6" s="64">
        <f t="shared" ref="M6:M33" si="0">+M5+1</f>
        <v>3</v>
      </c>
      <c r="N6" s="23" t="s">
        <v>88</v>
      </c>
      <c r="O6" s="23" t="s">
        <v>0</v>
      </c>
      <c r="P6" s="23" t="s">
        <v>66</v>
      </c>
      <c r="Q6" s="24" t="s">
        <v>18</v>
      </c>
      <c r="R6" s="23">
        <v>36</v>
      </c>
      <c r="S6" s="102" t="s">
        <v>65</v>
      </c>
      <c r="T6" s="52" t="s">
        <v>223</v>
      </c>
      <c r="U6" s="53" t="s">
        <v>224</v>
      </c>
      <c r="V6" s="110">
        <v>4000</v>
      </c>
      <c r="W6" s="110">
        <v>4000</v>
      </c>
      <c r="X6" s="212"/>
    </row>
    <row r="7" spans="7:24" ht="15.6" customHeight="1">
      <c r="G7" s="2" t="e">
        <f>COUNTIF(#REF!,"&gt;0")</f>
        <v>#REF!</v>
      </c>
      <c r="H7" s="16" t="e">
        <f>+G7/G8</f>
        <v>#REF!</v>
      </c>
      <c r="M7" s="64">
        <f t="shared" si="0"/>
        <v>4</v>
      </c>
      <c r="N7" s="23" t="s">
        <v>112</v>
      </c>
      <c r="O7" s="23" t="s">
        <v>0</v>
      </c>
      <c r="P7" s="23" t="s">
        <v>66</v>
      </c>
      <c r="Q7" s="24" t="s">
        <v>18</v>
      </c>
      <c r="R7" s="23">
        <v>35</v>
      </c>
      <c r="S7" s="102" t="s">
        <v>65</v>
      </c>
      <c r="T7" s="52" t="s">
        <v>223</v>
      </c>
      <c r="U7" s="53" t="s">
        <v>225</v>
      </c>
      <c r="V7" s="110">
        <v>18000</v>
      </c>
      <c r="W7" s="110">
        <v>5000</v>
      </c>
      <c r="X7" s="93">
        <f>+X5/$V$1</f>
        <v>0.20895522388059701</v>
      </c>
    </row>
    <row r="8" spans="7:24" ht="15.6" customHeight="1">
      <c r="G8" s="2">
        <f>COUNTA(#REF!)</f>
        <v>1</v>
      </c>
      <c r="H8" s="16" t="e">
        <f>+(G8-G7)/G8</f>
        <v>#REF!</v>
      </c>
      <c r="M8" s="64">
        <f t="shared" si="0"/>
        <v>5</v>
      </c>
      <c r="N8" s="23" t="s">
        <v>133</v>
      </c>
      <c r="O8" s="23" t="s">
        <v>0</v>
      </c>
      <c r="P8" s="23" t="s">
        <v>134</v>
      </c>
      <c r="Q8" s="24"/>
      <c r="R8" s="23">
        <v>34</v>
      </c>
      <c r="S8" s="102" t="s">
        <v>125</v>
      </c>
      <c r="T8" s="52" t="s">
        <v>223</v>
      </c>
      <c r="U8" s="53" t="s">
        <v>224</v>
      </c>
      <c r="V8" s="110">
        <v>0</v>
      </c>
      <c r="W8" s="110">
        <v>2150000</v>
      </c>
      <c r="X8" s="165"/>
    </row>
    <row r="9" spans="7:24" ht="15.6" customHeight="1">
      <c r="G9" s="2"/>
      <c r="H9" s="2"/>
      <c r="M9" s="64">
        <f t="shared" si="0"/>
        <v>6</v>
      </c>
      <c r="N9" s="23" t="s">
        <v>152</v>
      </c>
      <c r="O9" s="23" t="s">
        <v>0</v>
      </c>
      <c r="P9" s="23" t="s">
        <v>134</v>
      </c>
      <c r="Q9" s="24"/>
      <c r="R9" s="23">
        <v>32</v>
      </c>
      <c r="S9" s="102" t="s">
        <v>70</v>
      </c>
      <c r="T9" s="52" t="s">
        <v>223</v>
      </c>
      <c r="U9" s="53"/>
      <c r="V9" s="110">
        <v>0</v>
      </c>
      <c r="W9" s="110">
        <v>0</v>
      </c>
      <c r="X9" s="95" t="s">
        <v>28</v>
      </c>
    </row>
    <row r="10" spans="7:24" ht="15.6" customHeight="1">
      <c r="M10" s="64">
        <f t="shared" si="0"/>
        <v>7</v>
      </c>
      <c r="N10" s="23" t="s">
        <v>120</v>
      </c>
      <c r="O10" s="23" t="s">
        <v>0</v>
      </c>
      <c r="P10" s="23" t="s">
        <v>66</v>
      </c>
      <c r="Q10" s="24" t="s">
        <v>18</v>
      </c>
      <c r="R10" s="23">
        <v>31</v>
      </c>
      <c r="S10" s="102" t="s">
        <v>70</v>
      </c>
      <c r="T10" s="52" t="s">
        <v>223</v>
      </c>
      <c r="U10" s="53"/>
      <c r="V10" s="110">
        <v>0</v>
      </c>
      <c r="W10" s="110">
        <v>0</v>
      </c>
      <c r="X10" s="212">
        <f>SUM(W4:W13)</f>
        <v>2385000</v>
      </c>
    </row>
    <row r="11" spans="7:24" ht="15.6" customHeight="1">
      <c r="M11" s="64">
        <f t="shared" si="0"/>
        <v>8</v>
      </c>
      <c r="N11" s="23" t="s">
        <v>114</v>
      </c>
      <c r="O11" s="23" t="s">
        <v>0</v>
      </c>
      <c r="P11" s="23" t="s">
        <v>66</v>
      </c>
      <c r="Q11" s="24" t="s">
        <v>18</v>
      </c>
      <c r="R11" s="23">
        <v>30</v>
      </c>
      <c r="S11" s="102" t="s">
        <v>65</v>
      </c>
      <c r="T11" s="52" t="s">
        <v>226</v>
      </c>
      <c r="U11" s="53" t="s">
        <v>225</v>
      </c>
      <c r="V11" s="110">
        <v>10000</v>
      </c>
      <c r="W11" s="110">
        <v>12000</v>
      </c>
      <c r="X11" s="212"/>
    </row>
    <row r="12" spans="7:24" ht="15.6" customHeight="1">
      <c r="M12" s="64">
        <f t="shared" si="0"/>
        <v>9</v>
      </c>
      <c r="N12" s="23" t="s">
        <v>188</v>
      </c>
      <c r="O12" s="23" t="s">
        <v>0</v>
      </c>
      <c r="P12" s="23" t="s">
        <v>181</v>
      </c>
      <c r="Q12" s="24" t="s">
        <v>18</v>
      </c>
      <c r="R12" s="23">
        <v>28</v>
      </c>
      <c r="S12" s="102" t="s">
        <v>70</v>
      </c>
      <c r="T12" s="52" t="s">
        <v>226</v>
      </c>
      <c r="U12" s="53"/>
      <c r="V12" s="110">
        <v>0</v>
      </c>
      <c r="W12" s="110">
        <v>200000</v>
      </c>
      <c r="X12" s="93">
        <f>+X10/$W$1</f>
        <v>0.73294406883835284</v>
      </c>
    </row>
    <row r="13" spans="7:24" ht="15.6" customHeight="1" thickBot="1">
      <c r="M13" s="65">
        <f t="shared" si="0"/>
        <v>10</v>
      </c>
      <c r="N13" s="66" t="s">
        <v>72</v>
      </c>
      <c r="O13" s="66" t="s">
        <v>0</v>
      </c>
      <c r="P13" s="66" t="s">
        <v>66</v>
      </c>
      <c r="Q13" s="67" t="s">
        <v>18</v>
      </c>
      <c r="R13" s="66">
        <v>28</v>
      </c>
      <c r="S13" s="103" t="s">
        <v>65</v>
      </c>
      <c r="T13" s="68" t="s">
        <v>223</v>
      </c>
      <c r="U13" s="69" t="s">
        <v>224</v>
      </c>
      <c r="V13" s="111">
        <v>4000</v>
      </c>
      <c r="W13" s="111">
        <v>5000</v>
      </c>
      <c r="X13" s="92"/>
    </row>
    <row r="14" spans="7:24" ht="15.6" customHeight="1">
      <c r="M14" s="132">
        <f t="shared" si="0"/>
        <v>11</v>
      </c>
      <c r="N14" s="70" t="s">
        <v>212</v>
      </c>
      <c r="O14" s="70" t="s">
        <v>0</v>
      </c>
      <c r="P14" s="70" t="s">
        <v>194</v>
      </c>
      <c r="Q14" s="71" t="s">
        <v>18</v>
      </c>
      <c r="R14" s="70">
        <v>28</v>
      </c>
      <c r="S14" s="104" t="s">
        <v>65</v>
      </c>
      <c r="T14" s="72" t="s">
        <v>223</v>
      </c>
      <c r="U14" s="73" t="s">
        <v>227</v>
      </c>
      <c r="V14" s="112">
        <v>90000</v>
      </c>
      <c r="W14" s="112">
        <v>0</v>
      </c>
      <c r="X14" s="96" t="s">
        <v>26</v>
      </c>
    </row>
    <row r="15" spans="7:24" ht="15.6" customHeight="1">
      <c r="M15" s="133">
        <f t="shared" si="0"/>
        <v>12</v>
      </c>
      <c r="N15" s="36" t="s">
        <v>129</v>
      </c>
      <c r="O15" s="36" t="s">
        <v>0</v>
      </c>
      <c r="P15" s="25" t="s">
        <v>126</v>
      </c>
      <c r="Q15" s="26" t="s">
        <v>18</v>
      </c>
      <c r="R15" s="25">
        <v>27</v>
      </c>
      <c r="S15" s="105" t="s">
        <v>70</v>
      </c>
      <c r="T15" s="54" t="s">
        <v>223</v>
      </c>
      <c r="U15" s="55" t="s">
        <v>225</v>
      </c>
      <c r="V15" s="113">
        <v>15000</v>
      </c>
      <c r="W15" s="113">
        <v>3000</v>
      </c>
      <c r="X15" s="211">
        <f>SUM(V14:V23)</f>
        <v>185000</v>
      </c>
    </row>
    <row r="16" spans="7:24" ht="15.6" customHeight="1">
      <c r="M16" s="133">
        <f t="shared" si="0"/>
        <v>13</v>
      </c>
      <c r="N16" s="25" t="s">
        <v>86</v>
      </c>
      <c r="O16" s="25" t="s">
        <v>0</v>
      </c>
      <c r="P16" s="25" t="s">
        <v>66</v>
      </c>
      <c r="Q16" s="26"/>
      <c r="R16" s="25">
        <v>27</v>
      </c>
      <c r="S16" s="105" t="s">
        <v>76</v>
      </c>
      <c r="T16" s="54" t="s">
        <v>223</v>
      </c>
      <c r="U16" s="55" t="s">
        <v>225</v>
      </c>
      <c r="V16" s="113">
        <v>20000</v>
      </c>
      <c r="W16" s="113">
        <v>5000</v>
      </c>
      <c r="X16" s="211"/>
    </row>
    <row r="17" spans="1:24" ht="15.6" customHeight="1">
      <c r="M17" s="133">
        <f t="shared" si="0"/>
        <v>14</v>
      </c>
      <c r="N17" s="25" t="s">
        <v>110</v>
      </c>
      <c r="O17" s="25" t="s">
        <v>0</v>
      </c>
      <c r="P17" s="25" t="s">
        <v>66</v>
      </c>
      <c r="Q17" s="26" t="s">
        <v>18</v>
      </c>
      <c r="R17" s="25">
        <v>27</v>
      </c>
      <c r="S17" s="105" t="s">
        <v>65</v>
      </c>
      <c r="T17" s="54" t="s">
        <v>223</v>
      </c>
      <c r="U17" s="55" t="s">
        <v>224</v>
      </c>
      <c r="V17" s="113">
        <v>20000</v>
      </c>
      <c r="W17" s="113">
        <v>2000</v>
      </c>
      <c r="X17" s="97">
        <f>+X15/$V$1</f>
        <v>0.69029850746268662</v>
      </c>
    </row>
    <row r="18" spans="1:24" ht="15.6" customHeight="1">
      <c r="M18" s="133">
        <f t="shared" si="0"/>
        <v>15</v>
      </c>
      <c r="N18" s="25" t="s">
        <v>98</v>
      </c>
      <c r="O18" s="25" t="s">
        <v>0</v>
      </c>
      <c r="P18" s="25" t="s">
        <v>66</v>
      </c>
      <c r="Q18" s="26"/>
      <c r="R18" s="25">
        <v>26</v>
      </c>
      <c r="S18" s="105" t="s">
        <v>65</v>
      </c>
      <c r="T18" s="54" t="s">
        <v>223</v>
      </c>
      <c r="U18" s="55" t="s">
        <v>225</v>
      </c>
      <c r="V18" s="113">
        <v>8000</v>
      </c>
      <c r="W18" s="113">
        <v>4000</v>
      </c>
      <c r="X18" s="166"/>
    </row>
    <row r="19" spans="1:24" ht="15.6" customHeight="1">
      <c r="M19" s="133">
        <f t="shared" si="0"/>
        <v>16</v>
      </c>
      <c r="N19" s="25" t="s">
        <v>102</v>
      </c>
      <c r="O19" s="25" t="s">
        <v>0</v>
      </c>
      <c r="P19" s="25" t="s">
        <v>66</v>
      </c>
      <c r="Q19" s="26"/>
      <c r="R19" s="25">
        <v>26</v>
      </c>
      <c r="S19" s="105" t="s">
        <v>65</v>
      </c>
      <c r="T19" s="54" t="s">
        <v>226</v>
      </c>
      <c r="U19" s="55" t="s">
        <v>225</v>
      </c>
      <c r="V19" s="113">
        <v>5000</v>
      </c>
      <c r="W19" s="113">
        <v>100000</v>
      </c>
      <c r="X19" s="96" t="s">
        <v>28</v>
      </c>
    </row>
    <row r="20" spans="1:24" ht="15.6" customHeight="1">
      <c r="M20" s="133">
        <f t="shared" si="0"/>
        <v>17</v>
      </c>
      <c r="N20" s="25" t="s">
        <v>90</v>
      </c>
      <c r="O20" s="25" t="s">
        <v>0</v>
      </c>
      <c r="P20" s="25" t="s">
        <v>66</v>
      </c>
      <c r="Q20" s="26"/>
      <c r="R20" s="25">
        <v>26</v>
      </c>
      <c r="S20" s="105" t="s">
        <v>65</v>
      </c>
      <c r="T20" s="54" t="s">
        <v>226</v>
      </c>
      <c r="U20" s="55" t="s">
        <v>224</v>
      </c>
      <c r="V20" s="113">
        <v>5000</v>
      </c>
      <c r="W20" s="113">
        <v>6000</v>
      </c>
      <c r="X20" s="211">
        <f>SUM(W14:W23)</f>
        <v>191000</v>
      </c>
    </row>
    <row r="21" spans="1:24" ht="15.6" customHeight="1">
      <c r="M21" s="133">
        <f t="shared" si="0"/>
        <v>18</v>
      </c>
      <c r="N21" s="25" t="s">
        <v>180</v>
      </c>
      <c r="O21" s="25" t="s">
        <v>0</v>
      </c>
      <c r="P21" s="25" t="s">
        <v>181</v>
      </c>
      <c r="Q21" s="26" t="s">
        <v>18</v>
      </c>
      <c r="R21" s="25">
        <v>25</v>
      </c>
      <c r="S21" s="105" t="s">
        <v>76</v>
      </c>
      <c r="T21" s="54" t="s">
        <v>226</v>
      </c>
      <c r="U21" s="55"/>
      <c r="V21" s="113">
        <v>0</v>
      </c>
      <c r="W21" s="113">
        <v>20000</v>
      </c>
      <c r="X21" s="211"/>
    </row>
    <row r="22" spans="1:24" ht="15.6" customHeight="1">
      <c r="M22" s="133">
        <f t="shared" si="0"/>
        <v>19</v>
      </c>
      <c r="N22" s="25" t="s">
        <v>193</v>
      </c>
      <c r="O22" s="25" t="s">
        <v>0</v>
      </c>
      <c r="P22" s="25" t="s">
        <v>194</v>
      </c>
      <c r="Q22" s="26"/>
      <c r="R22" s="25">
        <v>25</v>
      </c>
      <c r="S22" s="105" t="s">
        <v>125</v>
      </c>
      <c r="T22" s="54" t="s">
        <v>223</v>
      </c>
      <c r="U22" s="55" t="s">
        <v>228</v>
      </c>
      <c r="V22" s="113">
        <v>12000</v>
      </c>
      <c r="W22" s="113">
        <v>48000</v>
      </c>
      <c r="X22" s="97">
        <f>+X20/$W$1</f>
        <v>5.8696988322065151E-2</v>
      </c>
    </row>
    <row r="23" spans="1:24" ht="15.6" customHeight="1" thickBot="1">
      <c r="M23" s="134">
        <f t="shared" si="0"/>
        <v>20</v>
      </c>
      <c r="N23" s="74" t="s">
        <v>118</v>
      </c>
      <c r="O23" s="74" t="s">
        <v>0</v>
      </c>
      <c r="P23" s="74" t="s">
        <v>66</v>
      </c>
      <c r="Q23" s="75"/>
      <c r="R23" s="74">
        <v>24</v>
      </c>
      <c r="S23" s="106" t="s">
        <v>65</v>
      </c>
      <c r="T23" s="76" t="s">
        <v>223</v>
      </c>
      <c r="U23" s="77" t="s">
        <v>225</v>
      </c>
      <c r="V23" s="114">
        <v>10000</v>
      </c>
      <c r="W23" s="114">
        <v>3000</v>
      </c>
      <c r="X23" s="98"/>
    </row>
    <row r="24" spans="1:24" ht="15.6" customHeight="1">
      <c r="M24" s="78">
        <f t="shared" si="0"/>
        <v>21</v>
      </c>
      <c r="N24" s="79" t="s">
        <v>200</v>
      </c>
      <c r="O24" s="79" t="s">
        <v>0</v>
      </c>
      <c r="P24" s="79" t="s">
        <v>194</v>
      </c>
      <c r="Q24" s="80" t="s">
        <v>18</v>
      </c>
      <c r="R24" s="79">
        <v>24</v>
      </c>
      <c r="S24" s="107" t="s">
        <v>76</v>
      </c>
      <c r="T24" s="81" t="s">
        <v>223</v>
      </c>
      <c r="U24" s="82" t="s">
        <v>225</v>
      </c>
      <c r="V24" s="115">
        <v>0</v>
      </c>
      <c r="W24" s="115">
        <v>0</v>
      </c>
      <c r="X24" s="99" t="s">
        <v>26</v>
      </c>
    </row>
    <row r="25" spans="1:24" ht="12.6" customHeight="1">
      <c r="M25" s="83">
        <f t="shared" si="0"/>
        <v>22</v>
      </c>
      <c r="N25" s="50" t="s">
        <v>124</v>
      </c>
      <c r="O25" s="50" t="s">
        <v>0</v>
      </c>
      <c r="P25" s="50" t="s">
        <v>126</v>
      </c>
      <c r="Q25" s="51"/>
      <c r="R25" s="50">
        <v>24</v>
      </c>
      <c r="S25" s="108" t="s">
        <v>125</v>
      </c>
      <c r="T25" s="56" t="s">
        <v>226</v>
      </c>
      <c r="U25" s="57" t="s">
        <v>225</v>
      </c>
      <c r="V25" s="116">
        <v>15000</v>
      </c>
      <c r="W25" s="116">
        <v>3000</v>
      </c>
      <c r="X25" s="213">
        <f>SUM(V24:V33)</f>
        <v>27000</v>
      </c>
    </row>
    <row r="26" spans="1:24" ht="15.6" customHeight="1">
      <c r="M26" s="83">
        <f t="shared" si="0"/>
        <v>23</v>
      </c>
      <c r="N26" s="50" t="s">
        <v>92</v>
      </c>
      <c r="O26" s="50" t="s">
        <v>0</v>
      </c>
      <c r="P26" s="50" t="s">
        <v>66</v>
      </c>
      <c r="Q26" s="51" t="s">
        <v>18</v>
      </c>
      <c r="R26" s="50">
        <v>23</v>
      </c>
      <c r="S26" s="108" t="s">
        <v>76</v>
      </c>
      <c r="T26" s="56" t="s">
        <v>223</v>
      </c>
      <c r="U26" s="57" t="s">
        <v>225</v>
      </c>
      <c r="V26" s="116">
        <v>7000</v>
      </c>
      <c r="W26" s="116">
        <v>5000</v>
      </c>
      <c r="X26" s="213"/>
    </row>
    <row r="27" spans="1:24" ht="15.6" customHeight="1">
      <c r="M27" s="83">
        <f t="shared" si="0"/>
        <v>24</v>
      </c>
      <c r="N27" s="50" t="s">
        <v>159</v>
      </c>
      <c r="O27" s="50" t="s">
        <v>0</v>
      </c>
      <c r="P27" s="50" t="s">
        <v>155</v>
      </c>
      <c r="Q27" s="51" t="s">
        <v>18</v>
      </c>
      <c r="R27" s="50">
        <v>23</v>
      </c>
      <c r="S27" s="108" t="s">
        <v>125</v>
      </c>
      <c r="T27" s="56" t="s">
        <v>223</v>
      </c>
      <c r="U27" s="57"/>
      <c r="V27" s="116">
        <v>0</v>
      </c>
      <c r="W27" s="116">
        <v>27000</v>
      </c>
      <c r="X27" s="100">
        <f>+X25/$V$1</f>
        <v>0.10074626865671642</v>
      </c>
    </row>
    <row r="28" spans="1:24" ht="15.6" customHeight="1">
      <c r="M28" s="83">
        <f t="shared" si="0"/>
        <v>25</v>
      </c>
      <c r="N28" s="50" t="s">
        <v>229</v>
      </c>
      <c r="O28" s="50" t="s">
        <v>0</v>
      </c>
      <c r="P28" s="50" t="s">
        <v>194</v>
      </c>
      <c r="Q28" s="51" t="s">
        <v>18</v>
      </c>
      <c r="R28" s="50">
        <v>23</v>
      </c>
      <c r="S28" s="108" t="s">
        <v>76</v>
      </c>
      <c r="T28" s="56" t="s">
        <v>226</v>
      </c>
      <c r="U28" s="57"/>
      <c r="V28" s="116">
        <v>0</v>
      </c>
      <c r="W28" s="116">
        <v>0</v>
      </c>
      <c r="X28" s="167"/>
    </row>
    <row r="29" spans="1:24" ht="15.6" customHeight="1">
      <c r="M29" s="83">
        <f t="shared" si="0"/>
        <v>26</v>
      </c>
      <c r="N29" s="50" t="s">
        <v>184</v>
      </c>
      <c r="O29" s="50" t="s">
        <v>2</v>
      </c>
      <c r="P29" s="50" t="s">
        <v>181</v>
      </c>
      <c r="Q29" s="51" t="s">
        <v>18</v>
      </c>
      <c r="R29" s="50">
        <v>22</v>
      </c>
      <c r="S29" s="108" t="s">
        <v>70</v>
      </c>
      <c r="T29" s="56" t="s">
        <v>230</v>
      </c>
      <c r="U29" s="57"/>
      <c r="V29" s="116">
        <v>0</v>
      </c>
      <c r="W29" s="116">
        <v>0</v>
      </c>
      <c r="X29" s="99" t="s">
        <v>28</v>
      </c>
    </row>
    <row r="30" spans="1:24" ht="15.6" customHeight="1">
      <c r="M30" s="83">
        <f t="shared" si="0"/>
        <v>27</v>
      </c>
      <c r="N30" s="50" t="s">
        <v>186</v>
      </c>
      <c r="O30" s="50" t="s">
        <v>0</v>
      </c>
      <c r="P30" s="50" t="s">
        <v>181</v>
      </c>
      <c r="Q30" s="51" t="s">
        <v>18</v>
      </c>
      <c r="R30" s="50">
        <v>21</v>
      </c>
      <c r="S30" s="108" t="s">
        <v>125</v>
      </c>
      <c r="T30" s="56" t="s">
        <v>226</v>
      </c>
      <c r="U30" s="57"/>
      <c r="V30" s="116">
        <v>0</v>
      </c>
      <c r="W30" s="116">
        <v>400000</v>
      </c>
      <c r="X30" s="213">
        <f>SUM(W24:W33)</f>
        <v>678000</v>
      </c>
    </row>
    <row r="31" spans="1:24" ht="12.6" customHeight="1">
      <c r="A31" s="2"/>
      <c r="M31" s="83">
        <f t="shared" si="0"/>
        <v>28</v>
      </c>
      <c r="N31" s="50" t="s">
        <v>206</v>
      </c>
      <c r="O31" s="50" t="s">
        <v>0</v>
      </c>
      <c r="P31" s="50" t="s">
        <v>194</v>
      </c>
      <c r="Q31" s="51"/>
      <c r="R31" s="50">
        <v>21</v>
      </c>
      <c r="S31" s="108" t="s">
        <v>125</v>
      </c>
      <c r="T31" s="56" t="s">
        <v>226</v>
      </c>
      <c r="U31" s="57" t="s">
        <v>228</v>
      </c>
      <c r="V31" s="116">
        <v>0</v>
      </c>
      <c r="W31" s="116">
        <v>240000</v>
      </c>
      <c r="X31" s="213"/>
    </row>
    <row r="32" spans="1:24" ht="15.6" customHeight="1">
      <c r="M32" s="83">
        <f t="shared" si="0"/>
        <v>29</v>
      </c>
      <c r="N32" s="50" t="s">
        <v>131</v>
      </c>
      <c r="O32" s="50" t="s">
        <v>0</v>
      </c>
      <c r="P32" s="50" t="s">
        <v>126</v>
      </c>
      <c r="Q32" s="51"/>
      <c r="R32" s="50">
        <v>21</v>
      </c>
      <c r="S32" s="108" t="s">
        <v>125</v>
      </c>
      <c r="T32" s="56" t="s">
        <v>226</v>
      </c>
      <c r="U32" s="57" t="s">
        <v>227</v>
      </c>
      <c r="V32" s="116">
        <v>0</v>
      </c>
      <c r="W32" s="116">
        <v>0</v>
      </c>
      <c r="X32" s="100">
        <f>+X30/$W$1</f>
        <v>0.20835894283958206</v>
      </c>
    </row>
    <row r="33" spans="13:24" ht="15.6" customHeight="1" thickBot="1">
      <c r="M33" s="84">
        <f t="shared" si="0"/>
        <v>30</v>
      </c>
      <c r="N33" s="85" t="s">
        <v>96</v>
      </c>
      <c r="O33" s="85" t="s">
        <v>2</v>
      </c>
      <c r="P33" s="85" t="s">
        <v>66</v>
      </c>
      <c r="Q33" s="86"/>
      <c r="R33" s="85">
        <v>21</v>
      </c>
      <c r="S33" s="109" t="s">
        <v>65</v>
      </c>
      <c r="T33" s="87" t="s">
        <v>230</v>
      </c>
      <c r="U33" s="88" t="s">
        <v>225</v>
      </c>
      <c r="V33" s="117">
        <v>5000</v>
      </c>
      <c r="W33" s="117">
        <v>3000</v>
      </c>
      <c r="X33" s="101"/>
    </row>
    <row r="34" spans="13:24">
      <c r="R34"/>
      <c r="S34" s="37"/>
    </row>
    <row r="35" spans="13:24">
      <c r="R35"/>
      <c r="S35" s="37"/>
    </row>
    <row r="36" spans="13:24">
      <c r="R36"/>
      <c r="S36" s="37"/>
    </row>
  </sheetData>
  <sheetProtection selectLockedCells="1" selectUnlockedCells="1"/>
  <autoFilter ref="N3:T33" xr:uid="{315A8639-13A5-429E-A58E-73CDB8D53D86}"/>
  <mergeCells count="6">
    <mergeCell ref="X15:X16"/>
    <mergeCell ref="X5:X6"/>
    <mergeCell ref="X10:X11"/>
    <mergeCell ref="X20:X21"/>
    <mergeCell ref="X30:X31"/>
    <mergeCell ref="X25:X26"/>
  </mergeCells>
  <phoneticPr fontId="4" type="noConversion"/>
  <conditionalFormatting sqref="U4:U33">
    <cfRule type="cellIs" dxfId="4" priority="11" operator="equal">
      <formula>"O"</formula>
    </cfRule>
    <cfRule type="cellIs" dxfId="3" priority="13" operator="equal">
      <formula>"M"</formula>
    </cfRule>
    <cfRule type="cellIs" dxfId="2" priority="14" operator="equal">
      <formula>"J"</formula>
    </cfRule>
    <cfRule type="cellIs" dxfId="1" priority="15" operator="equal">
      <formula>"L"</formula>
    </cfRule>
    <cfRule type="cellIs" dxfId="0" priority="16" operator="equal">
      <formula>"I"</formula>
    </cfRule>
  </conditionalFormatting>
  <conditionalFormatting sqref="T4:T33">
    <cfRule type="iconSet" priority="2673">
      <iconSet iconSet="3Symbols" showValue="0">
        <cfvo type="percent" val="0"/>
        <cfvo type="num" val="1"/>
        <cfvo type="num" val="2"/>
      </iconSet>
    </cfRule>
  </conditionalFormatting>
  <conditionalFormatting sqref="S4:S33">
    <cfRule type="iconSet" priority="2675">
      <iconSet iconSet="3Symbols" showValue="0">
        <cfvo type="percent" val="0"/>
        <cfvo type="num" val="1"/>
        <cfvo type="num" val="2"/>
      </iconSet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&amp;L_x000D_&amp;1#&amp;"Calibri"&amp;10&amp;K000000 Classificação: Público</oddFooter>
  </headerFooter>
  <ignoredErrors>
    <ignoredError sqref="X5 X15 X30 X25 X20 X10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F76C3-EE03-4D23-8D16-193CBF670CBF}">
  <sheetPr codeName="Planilha1"/>
  <dimension ref="D1:P14"/>
  <sheetViews>
    <sheetView showGridLines="0" showRowColHeaders="0" zoomScale="180" zoomScaleNormal="180" workbookViewId="0">
      <selection activeCell="G3" sqref="G3"/>
    </sheetView>
  </sheetViews>
  <sheetFormatPr defaultColWidth="8.85546875" defaultRowHeight="14.45"/>
  <cols>
    <col min="14" max="15" width="10.42578125" bestFit="1" customWidth="1"/>
    <col min="16" max="16" width="5.28515625" bestFit="1" customWidth="1"/>
  </cols>
  <sheetData>
    <row r="1" spans="4:16">
      <c r="N1" s="28"/>
      <c r="O1" s="28"/>
      <c r="P1" s="29"/>
    </row>
    <row r="14" spans="4:16">
      <c r="D14" s="30" t="s">
        <v>231</v>
      </c>
    </row>
  </sheetData>
  <pageMargins left="0.511811024" right="0.511811024" top="0.78740157499999996" bottom="0.78740157499999996" header="0.31496062000000002" footer="0.31496062000000002"/>
  <headerFooter>
    <oddFooter>&amp;L_x000D_&amp;1#&amp;"Calibri"&amp;10&amp;K000000 Classificação: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BD537-264B-46E5-97A9-51A3CB4F66BE}">
  <sheetPr codeName="Planilha4"/>
  <dimension ref="A1:L29"/>
  <sheetViews>
    <sheetView topLeftCell="A4" workbookViewId="0">
      <selection activeCell="D24" sqref="D24"/>
    </sheetView>
  </sheetViews>
  <sheetFormatPr defaultColWidth="8.7109375" defaultRowHeight="14.45"/>
  <cols>
    <col min="1" max="1" width="15.28515625" bestFit="1" customWidth="1"/>
    <col min="3" max="3" width="7.28515625" bestFit="1" customWidth="1"/>
    <col min="6" max="6" width="8.7109375" customWidth="1"/>
    <col min="7" max="8" width="10.7109375" bestFit="1" customWidth="1"/>
    <col min="9" max="9" width="4" customWidth="1"/>
    <col min="10" max="10" width="2" bestFit="1" customWidth="1"/>
    <col min="11" max="11" width="12.28515625" style="6" customWidth="1"/>
    <col min="12" max="12" width="10.7109375" bestFit="1" customWidth="1"/>
    <col min="13" max="13" width="13.7109375" customWidth="1"/>
    <col min="14" max="14" width="9.42578125" bestFit="1" customWidth="1"/>
    <col min="18" max="18" width="2" bestFit="1" customWidth="1"/>
    <col min="19" max="20" width="10.7109375" bestFit="1" customWidth="1"/>
    <col min="21" max="21" width="1.7109375" customWidth="1"/>
    <col min="22" max="22" width="2" bestFit="1" customWidth="1"/>
    <col min="23" max="24" width="10.7109375" bestFit="1" customWidth="1"/>
  </cols>
  <sheetData>
    <row r="1" spans="1:12">
      <c r="A1" s="218" t="s">
        <v>232</v>
      </c>
      <c r="B1" s="218"/>
      <c r="C1" s="218"/>
      <c r="D1" s="218"/>
      <c r="E1" s="218"/>
      <c r="F1" s="217" t="s">
        <v>233</v>
      </c>
      <c r="G1" s="217"/>
      <c r="H1" s="217"/>
      <c r="J1" s="217" t="s">
        <v>234</v>
      </c>
      <c r="K1" s="217"/>
      <c r="L1" s="217"/>
    </row>
    <row r="2" spans="1:12">
      <c r="A2" s="6" t="s">
        <v>235</v>
      </c>
      <c r="B2" t="s">
        <v>49</v>
      </c>
      <c r="D2">
        <f>COUNTIF(TB_Cockpit_2026[Encantar os Clientes],"&gt;0")</f>
        <v>56</v>
      </c>
      <c r="E2" s="4">
        <f>+IF($B$29=0,0,D2/$B$29)</f>
        <v>0.83582089552238803</v>
      </c>
      <c r="F2">
        <v>1</v>
      </c>
      <c r="G2" s="44">
        <v>0</v>
      </c>
      <c r="H2" s="44">
        <v>10000</v>
      </c>
      <c r="J2">
        <v>1</v>
      </c>
      <c r="K2" s="44">
        <v>0</v>
      </c>
      <c r="L2" s="44">
        <v>5000</v>
      </c>
    </row>
    <row r="3" spans="1:12">
      <c r="A3" s="6" t="s">
        <v>236</v>
      </c>
      <c r="B3" t="s">
        <v>237</v>
      </c>
      <c r="D3">
        <f>COUNTIF(TB_Cockpit_2026[Alta Rentabilidade],"&gt;0")</f>
        <v>54</v>
      </c>
      <c r="E3" s="4">
        <f t="shared" ref="E3:E4" si="0">+IF($B$29=0,0,D3/$B$29)</f>
        <v>0.80597014925373134</v>
      </c>
      <c r="F3">
        <v>2</v>
      </c>
      <c r="G3" s="44">
        <v>10001</v>
      </c>
      <c r="H3" s="44">
        <v>50000</v>
      </c>
      <c r="J3">
        <v>2</v>
      </c>
      <c r="K3" s="44">
        <f>+L2+1</f>
        <v>5001</v>
      </c>
      <c r="L3" s="44">
        <v>25000</v>
      </c>
    </row>
    <row r="4" spans="1:12">
      <c r="A4" s="6" t="s">
        <v>238</v>
      </c>
      <c r="B4" t="s">
        <v>51</v>
      </c>
      <c r="D4">
        <f>COUNTIF(TB_Cockpit_2026[Capital com Foco],"&gt;0")</f>
        <v>54</v>
      </c>
      <c r="E4" s="4">
        <f t="shared" si="0"/>
        <v>0.80597014925373134</v>
      </c>
      <c r="F4">
        <v>3</v>
      </c>
      <c r="G4" s="44">
        <v>50001</v>
      </c>
      <c r="H4" s="44">
        <v>150000</v>
      </c>
      <c r="J4">
        <v>3</v>
      </c>
      <c r="K4" s="44">
        <f>+L3+1</f>
        <v>25001</v>
      </c>
      <c r="L4" s="44">
        <v>100000</v>
      </c>
    </row>
    <row r="5" spans="1:12">
      <c r="A5" s="6"/>
      <c r="D5" s="4"/>
      <c r="F5">
        <v>4</v>
      </c>
      <c r="G5" s="44">
        <v>151000</v>
      </c>
      <c r="H5" s="44">
        <v>300000</v>
      </c>
      <c r="J5">
        <v>4</v>
      </c>
      <c r="K5" s="44">
        <f>+L4+1</f>
        <v>100001</v>
      </c>
      <c r="L5" s="44">
        <v>200000</v>
      </c>
    </row>
    <row r="6" spans="1:12">
      <c r="A6" s="6"/>
      <c r="D6" s="4"/>
      <c r="K6"/>
    </row>
    <row r="7" spans="1:12">
      <c r="A7" s="6"/>
      <c r="D7" s="4"/>
      <c r="K7"/>
    </row>
    <row r="8" spans="1:12">
      <c r="D8" s="4"/>
      <c r="K8"/>
    </row>
    <row r="9" spans="1:12">
      <c r="A9" s="6" t="s">
        <v>223</v>
      </c>
      <c r="B9">
        <f>COUNTIF(TB_Cockpit_2026[QM],A9)</f>
        <v>18</v>
      </c>
      <c r="C9" s="7">
        <f>+B9/$B$13</f>
        <v>0.26865671641791045</v>
      </c>
      <c r="K9"/>
    </row>
    <row r="10" spans="1:12">
      <c r="A10" s="6" t="s">
        <v>230</v>
      </c>
      <c r="B10">
        <f>COUNTIF(TB_Cockpit_2026[QM],A10)</f>
        <v>9</v>
      </c>
      <c r="C10" s="7">
        <f t="shared" ref="C10:C12" si="1">+B10/$B$13</f>
        <v>0.13432835820895522</v>
      </c>
      <c r="K10"/>
    </row>
    <row r="11" spans="1:12">
      <c r="A11" s="6" t="s">
        <v>226</v>
      </c>
      <c r="B11">
        <f>COUNTIF(TB_Cockpit_2026[QM],A11)</f>
        <v>12</v>
      </c>
      <c r="C11" s="7">
        <f t="shared" si="1"/>
        <v>0.17910447761194029</v>
      </c>
      <c r="K11"/>
    </row>
    <row r="12" spans="1:12">
      <c r="A12" s="6" t="s">
        <v>239</v>
      </c>
      <c r="B12">
        <f>COUNTIF(TB_Cockpit_2026[QM],A12)</f>
        <v>28</v>
      </c>
      <c r="C12" s="7">
        <f t="shared" si="1"/>
        <v>0.41791044776119401</v>
      </c>
      <c r="K12"/>
    </row>
    <row r="13" spans="1:12">
      <c r="A13" s="6"/>
      <c r="B13">
        <f>SUM(B9:B12)</f>
        <v>67</v>
      </c>
      <c r="K13"/>
    </row>
    <row r="14" spans="1:12">
      <c r="K14"/>
    </row>
    <row r="15" spans="1:12">
      <c r="A15" s="6" t="s">
        <v>125</v>
      </c>
      <c r="B15">
        <f>COUNTIF(TB_Cockpit_2026[[#All],[Onde Estamos]],A15)</f>
        <v>18</v>
      </c>
      <c r="C15" s="4">
        <f>+IF($B$29=0,0,B15/$B$29)</f>
        <v>0.26865671641791045</v>
      </c>
      <c r="K15"/>
    </row>
    <row r="16" spans="1:12">
      <c r="A16" s="6" t="s">
        <v>70</v>
      </c>
      <c r="B16">
        <f>COUNTIF(TB_Cockpit_2026[[#All],[Onde Estamos]],A16)</f>
        <v>17</v>
      </c>
      <c r="C16" s="4">
        <f>+IF($B$29=0,0,B16/$B$29)</f>
        <v>0.2537313432835821</v>
      </c>
    </row>
    <row r="17" spans="1:7">
      <c r="A17" s="6" t="s">
        <v>76</v>
      </c>
      <c r="B17">
        <f>COUNTIF(TB_Cockpit_2026[[#All],[Onde Estamos]],A17)</f>
        <v>13</v>
      </c>
      <c r="C17" s="4">
        <f>+IF($B$29=0,0,B17/$B$29)</f>
        <v>0.19402985074626866</v>
      </c>
    </row>
    <row r="18" spans="1:7">
      <c r="A18" s="6" t="s">
        <v>65</v>
      </c>
      <c r="B18">
        <f>COUNTIF(TB_Cockpit_2026[[#All],[Onde Estamos]],A18)</f>
        <v>19</v>
      </c>
      <c r="C18" s="4">
        <f>+IF($B$29=0,0,B18/$B$29)</f>
        <v>0.28358208955223879</v>
      </c>
    </row>
    <row r="21" spans="1:7">
      <c r="A21" s="214" t="s">
        <v>24</v>
      </c>
      <c r="B21" s="215"/>
      <c r="C21" s="216"/>
      <c r="E21" s="119" t="s">
        <v>240</v>
      </c>
      <c r="F21" s="119"/>
      <c r="G21" s="119"/>
    </row>
    <row r="22" spans="1:7">
      <c r="A22" s="47" t="s">
        <v>194</v>
      </c>
      <c r="B22">
        <f>COUNTIF(TB_Cockpit_2026[[#All],[Área]],A22)</f>
        <v>11</v>
      </c>
      <c r="C22" s="31">
        <f t="shared" ref="C22:C28" si="2">+IF(B22=0,0,B22/$B$29)</f>
        <v>0.16417910447761194</v>
      </c>
      <c r="E22" t="s">
        <v>64</v>
      </c>
      <c r="F22">
        <f>COUNTIF(TB_Cockpit_2026[[#Headers],[#Data],[Classific.]],E22)</f>
        <v>31</v>
      </c>
      <c r="G22" s="4">
        <f>+F22/$B$29</f>
        <v>0.46268656716417911</v>
      </c>
    </row>
    <row r="23" spans="1:7">
      <c r="A23" s="47" t="s">
        <v>181</v>
      </c>
      <c r="B23">
        <f>COUNTIF(TB_Cockpit_2026[[#All],[Área]],A23)</f>
        <v>5</v>
      </c>
      <c r="C23" s="31">
        <f t="shared" si="2"/>
        <v>7.4626865671641784E-2</v>
      </c>
      <c r="E23" t="s">
        <v>75</v>
      </c>
      <c r="F23">
        <f>COUNTIF(TB_Cockpit_2026[[#Headers],[#Data],[Classific.]],E23)</f>
        <v>36</v>
      </c>
      <c r="G23" s="4">
        <f>+F23/$B$29</f>
        <v>0.53731343283582089</v>
      </c>
    </row>
    <row r="24" spans="1:7">
      <c r="A24" s="47" t="s">
        <v>166</v>
      </c>
      <c r="B24">
        <f>COUNTIF(TB_Cockpit_2026[[#All],[Área]],A24)</f>
        <v>6</v>
      </c>
      <c r="C24" s="31">
        <f t="shared" si="2"/>
        <v>8.9552238805970144E-2</v>
      </c>
    </row>
    <row r="25" spans="1:7">
      <c r="A25" s="47" t="s">
        <v>155</v>
      </c>
      <c r="B25">
        <f>COUNTIF(TB_Cockpit_2026[[#All],[Área]],A25)</f>
        <v>6</v>
      </c>
      <c r="C25" s="31">
        <f t="shared" si="2"/>
        <v>8.9552238805970144E-2</v>
      </c>
    </row>
    <row r="26" spans="1:7">
      <c r="A26" s="47" t="s">
        <v>134</v>
      </c>
      <c r="B26">
        <f>COUNTIF(TB_Cockpit_2026[[#All],[Área]],A26)</f>
        <v>9</v>
      </c>
      <c r="C26" s="31">
        <f t="shared" si="2"/>
        <v>0.13432835820895522</v>
      </c>
    </row>
    <row r="27" spans="1:7">
      <c r="A27" s="47" t="s">
        <v>126</v>
      </c>
      <c r="B27">
        <f>COUNTIF(TB_Cockpit_2026[[#All],[Área]],A27)</f>
        <v>3</v>
      </c>
      <c r="C27" s="31">
        <f t="shared" si="2"/>
        <v>4.4776119402985072E-2</v>
      </c>
    </row>
    <row r="28" spans="1:7">
      <c r="A28" s="48" t="s">
        <v>66</v>
      </c>
      <c r="B28" s="49">
        <f>COUNTIF(TB_Cockpit_2026[[#All],[Área]],A28)</f>
        <v>27</v>
      </c>
      <c r="C28" s="45">
        <f t="shared" si="2"/>
        <v>0.40298507462686567</v>
      </c>
    </row>
    <row r="29" spans="1:7">
      <c r="B29" s="46">
        <f>SUM(B22:B28)</f>
        <v>67</v>
      </c>
    </row>
  </sheetData>
  <sortState xmlns:xlrd2="http://schemas.microsoft.com/office/spreadsheetml/2017/richdata2" ref="A22:A28">
    <sortCondition ref="A22:A28"/>
  </sortState>
  <mergeCells count="4">
    <mergeCell ref="A21:C21"/>
    <mergeCell ref="F1:H1"/>
    <mergeCell ref="J1:L1"/>
    <mergeCell ref="A1:E1"/>
  </mergeCells>
  <phoneticPr fontId="4" type="noConversion"/>
  <pageMargins left="0.511811024" right="0.511811024" top="0.78740157499999996" bottom="0.78740157499999996" header="0.31496062000000002" footer="0.31496062000000002"/>
  <headerFooter>
    <oddFooter>&amp;L_x000D_&amp;1#&amp;"Calibri"&amp;10&amp;K000000 Classificação: Público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3D1A019F8905345A3E468E3229AE2E4" ma:contentTypeVersion="12" ma:contentTypeDescription="Crie um novo documento." ma:contentTypeScope="" ma:versionID="64f0ace6d6c06f230f556ac77285cad9">
  <xsd:schema xmlns:xsd="http://www.w3.org/2001/XMLSchema" xmlns:xs="http://www.w3.org/2001/XMLSchema" xmlns:p="http://schemas.microsoft.com/office/2006/metadata/properties" xmlns:ns2="6065fdbb-ad9f-4211-ad38-6ee6bc6d0898" xmlns:ns3="9246ef36-c2d4-4d13-b65d-5eab57a69625" targetNamespace="http://schemas.microsoft.com/office/2006/metadata/properties" ma:root="true" ma:fieldsID="ea6083d75e32fd23a4a17c2b8fc94e8e" ns2:_="" ns3:_="">
    <xsd:import namespace="6065fdbb-ad9f-4211-ad38-6ee6bc6d0898"/>
    <xsd:import namespace="9246ef36-c2d4-4d13-b65d-5eab57a696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65fdbb-ad9f-4211-ad38-6ee6bc6d08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96c6374-8418-4054-9f71-fbda5dc607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46ef36-c2d4-4d13-b65d-5eab57a6962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c80698c-2fb0-4fbe-b59b-fe3887ffce6f}" ma:internalName="TaxCatchAll" ma:showField="CatchAllData" ma:web="9246ef36-c2d4-4d13-b65d-5eab57a696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246ef36-c2d4-4d13-b65d-5eab57a69625" xsi:nil="true"/>
    <lcf76f155ced4ddcb4097134ff3c332f xmlns="6065fdbb-ad9f-4211-ad38-6ee6bc6d089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D5FD534-06D4-4C0A-A72B-122654A5DC40}"/>
</file>

<file path=customXml/itemProps2.xml><?xml version="1.0" encoding="utf-8"?>
<ds:datastoreItem xmlns:ds="http://schemas.openxmlformats.org/officeDocument/2006/customXml" ds:itemID="{8313664A-3141-4D00-B880-4985B375BEE0}"/>
</file>

<file path=customXml/itemProps3.xml><?xml version="1.0" encoding="utf-8"?>
<ds:datastoreItem xmlns:ds="http://schemas.openxmlformats.org/officeDocument/2006/customXml" ds:itemID="{EFD1B2B3-3D70-4CD8-BAC8-CBF6D921CE8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Portfólio MatconCasa</dc:title>
  <dc:subject/>
  <dc:creator>Wanderley Cillo Jr.</dc:creator>
  <cp:keywords>Portfólio</cp:keywords>
  <dc:description>Gestão do Workload de Desenvolvimento de Sistema</dc:description>
  <cp:lastModifiedBy/>
  <cp:revision/>
  <dcterms:created xsi:type="dcterms:W3CDTF">2012-05-05T14:38:01Z</dcterms:created>
  <dcterms:modified xsi:type="dcterms:W3CDTF">2025-12-05T10:18:52Z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0x010100A3D1A019F8905345A3E468E3229AE2E4</vt:lpwstr>
  </property>
  <property fmtid="{D5CDD505-2E9C-101B-9397-08002B2CF9AE}" pid="3" name="MediaServiceImageTags">
    <vt:lpwstr/>
  </property>
  <property fmtid="{D5CDD505-2E9C-101B-9397-08002B2CF9AE}" pid="4" name="MSIP_Label_6c75bd44-d848-48c3-9a6d-b84dedcfe44b_Enabled">
    <vt:lpwstr>true</vt:lpwstr>
  </property>
  <property fmtid="{D5CDD505-2E9C-101B-9397-08002B2CF9AE}" pid="5" name="MSIP_Label_6c75bd44-d848-48c3-9a6d-b84dedcfe44b_SetDate">
    <vt:lpwstr>2025-07-10T11:36:08Z</vt:lpwstr>
  </property>
  <property fmtid="{D5CDD505-2E9C-101B-9397-08002B2CF9AE}" pid="6" name="MSIP_Label_6c75bd44-d848-48c3-9a6d-b84dedcfe44b_Method">
    <vt:lpwstr>Privileged</vt:lpwstr>
  </property>
  <property fmtid="{D5CDD505-2E9C-101B-9397-08002B2CF9AE}" pid="7" name="MSIP_Label_6c75bd44-d848-48c3-9a6d-b84dedcfe44b_Name">
    <vt:lpwstr>Público</vt:lpwstr>
  </property>
  <property fmtid="{D5CDD505-2E9C-101B-9397-08002B2CF9AE}" pid="8" name="MSIP_Label_6c75bd44-d848-48c3-9a6d-b84dedcfe44b_SiteId">
    <vt:lpwstr>6a8be92d-525c-4849-8ce7-35f812b77a5d</vt:lpwstr>
  </property>
  <property fmtid="{D5CDD505-2E9C-101B-9397-08002B2CF9AE}" pid="9" name="MSIP_Label_6c75bd44-d848-48c3-9a6d-b84dedcfe44b_ActionId">
    <vt:lpwstr>a8d16f18-78fb-454a-a7a7-dfcbbf635b3f</vt:lpwstr>
  </property>
  <property fmtid="{D5CDD505-2E9C-101B-9397-08002B2CF9AE}" pid="10" name="MSIP_Label_6c75bd44-d848-48c3-9a6d-b84dedcfe44b_ContentBits">
    <vt:lpwstr>2</vt:lpwstr>
  </property>
  <property fmtid="{D5CDD505-2E9C-101B-9397-08002B2CF9AE}" pid="11" name="MSIP_Label_6c75bd44-d848-48c3-9a6d-b84dedcfe44b_Tag">
    <vt:lpwstr>10, 0, 1, 1</vt:lpwstr>
  </property>
</Properties>
</file>