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22" codeName="{E5D1E7B1-6628-F0F0-D09B-76B25B5F3CD3}"/>
  <workbookPr codeName="EstaPastaDeTrabalho" hidePivotFieldList="1" defaultThemeVersion="124226"/>
  <mc:AlternateContent xmlns:mc="http://schemas.openxmlformats.org/markup-compatibility/2006">
    <mc:Choice Requires="x15">
      <x15ac:absPath xmlns:x15ac="http://schemas.microsoft.com/office/spreadsheetml/2010/11/ac" url="/Users/macbookpro/Desktop/"/>
    </mc:Choice>
  </mc:AlternateContent>
  <xr:revisionPtr revIDLastSave="0" documentId="8_{EA679BC8-9E7E-214F-8DDC-A5E76C2C9EC7}" xr6:coauthVersionLast="47" xr6:coauthVersionMax="47" xr10:uidLastSave="{00000000-0000-0000-0000-000000000000}"/>
  <bookViews>
    <workbookView xWindow="0" yWindow="740" windowWidth="29400" windowHeight="18380" tabRatio="705" firstSheet="1" activeTab="1" xr2:uid="{00000000-000D-0000-FFFF-FFFF00000000}"/>
  </bookViews>
  <sheets>
    <sheet name="Pilares" sheetId="120" r:id="rId1"/>
    <sheet name="Iniciativas 2026" sheetId="126" r:id="rId2"/>
    <sheet name="Painel - Cockpit" sheetId="121" r:id="rId3"/>
    <sheet name="Monitoramento" sheetId="125" r:id="rId4"/>
    <sheet name="Apoio" sheetId="119" state="hidden" r:id="rId5"/>
  </sheets>
  <functionGroups builtInGroupCount="19"/>
  <definedNames>
    <definedName name="_xlnm._FilterDatabase" localSheetId="1" hidden="1">'Iniciativas 2026'!$A$1:$A$1048544</definedName>
    <definedName name="_xlnm._FilterDatabase" localSheetId="2" hidden="1">'Painel - Cockpit'!$N$3:$T$33</definedName>
    <definedName name="_xleta.AND" hidden="1" xlm="1">#NAME?</definedName>
    <definedName name="_xleta.IF" hidden="1" xlm="1">#NAME?</definedName>
    <definedName name="_xleta.LEFT" hidden="1" xlm="1">#NAME?</definedName>
    <definedName name="_xleta.MIN" hidden="1" xlm="1">#NAME?</definedName>
    <definedName name="_xleta.MONTH" hidden="1" xlm="1">#NAME?</definedName>
    <definedName name="_xleta.TODAY" hidden="1" xlm="1">#NAME?</definedName>
    <definedName name="_xleta.VALUE" hidden="1" xlm="1">#NAME?</definedName>
    <definedName name="_xleta.YEAR" hidden="1" xlm="1">#NAME?</definedName>
    <definedName name="SegmentaçãodeDados_Área1">#N/A</definedName>
    <definedName name="SegmentaçãodeDados_Ciclo1">#N/A</definedName>
    <definedName name="SegmentaçãodeDados_Onde_Estamos1">#N/A</definedName>
    <definedName name="SegmentaçãodeDados_Projeto_x_Iniciativa1">#N/A</definedName>
    <definedName name="SegmentaçãodeDados_QM1">#N/A</definedName>
  </definedNames>
  <calcPr calcId="191028"/>
  <customWorkbookViews>
    <customWorkbookView name="GILBERTO CARAY DE ASSIS JUNIOR - Modo de exibição pessoal" guid="{84B78D49-631B-4848-9156-A145C1D8F4DE}" mergeInterval="0" personalView="1" maximized="1" xWindow="-8" yWindow="-8" windowWidth="1382" windowHeight="744" activeSheetId="1"/>
    <customWorkbookView name="Gilberto Caray - Modo de exibição pessoal" guid="{8527FBE4-06F8-4A89-8E15-EB7BD8CF3242}" autoUpdate="1" mergeInterval="30" personalView="1" maximized="1" xWindow="1" yWindow="1" windowWidth="1276" windowHeight="550" activeSheetId="1"/>
    <customWorkbookView name="Gilberto Caray de A. Junior - Modo de exibição pessoal" guid="{431B8D47-D366-4D04-861B-53ADABC3873C}" mergeInterval="0" personalView="1" maximized="1" windowWidth="1159" windowHeight="646" activeSheetId="1"/>
  </customWorkbookView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4:slicerCache r:id="rId1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54" i="126" l="1"/>
  <c r="L56" i="126"/>
  <c r="R56" i="126"/>
  <c r="T56" i="126" s="1"/>
  <c r="U56" i="126"/>
  <c r="V56" i="126"/>
  <c r="W56" i="126"/>
  <c r="X56" i="126"/>
  <c r="Y56" i="126"/>
  <c r="Z56" i="126"/>
  <c r="AA56" i="126"/>
  <c r="AB56" i="126"/>
  <c r="AC56" i="126"/>
  <c r="AD56" i="126"/>
  <c r="AE56" i="126"/>
  <c r="AF56" i="126"/>
  <c r="AK56" i="126"/>
  <c r="AQ56" i="126"/>
  <c r="L54" i="126"/>
  <c r="R54" i="126"/>
  <c r="T54" i="126" s="1"/>
  <c r="V54" i="126"/>
  <c r="W54" i="126"/>
  <c r="X54" i="126"/>
  <c r="Y54" i="126"/>
  <c r="Z54" i="126"/>
  <c r="AA54" i="126"/>
  <c r="AB54" i="126"/>
  <c r="AC54" i="126"/>
  <c r="AD54" i="126"/>
  <c r="AE54" i="126"/>
  <c r="AF54" i="126"/>
  <c r="AK54" i="126"/>
  <c r="AQ54" i="126"/>
  <c r="L52" i="126"/>
  <c r="R52" i="126"/>
  <c r="T52" i="126" s="1"/>
  <c r="U52" i="126"/>
  <c r="V52" i="126"/>
  <c r="W52" i="126"/>
  <c r="X52" i="126"/>
  <c r="Y52" i="126"/>
  <c r="Z52" i="126"/>
  <c r="AA52" i="126"/>
  <c r="AB52" i="126"/>
  <c r="AC52" i="126"/>
  <c r="AD52" i="126"/>
  <c r="AE52" i="126"/>
  <c r="AF52" i="126"/>
  <c r="AK52" i="126"/>
  <c r="AQ52" i="126"/>
  <c r="X30" i="121"/>
  <c r="X20" i="121"/>
  <c r="X10" i="121"/>
  <c r="X25" i="121"/>
  <c r="X15" i="121"/>
  <c r="X5" i="121"/>
  <c r="H2" i="126"/>
  <c r="H1" i="126"/>
  <c r="AQ71" i="126"/>
  <c r="AK12" i="126"/>
  <c r="AK13" i="126"/>
  <c r="AK14" i="126"/>
  <c r="AK15" i="126"/>
  <c r="AK16" i="126"/>
  <c r="AK17" i="126"/>
  <c r="AK18" i="126"/>
  <c r="AK19" i="126"/>
  <c r="AK73" i="126"/>
  <c r="AK20" i="126"/>
  <c r="AK21" i="126"/>
  <c r="AK22" i="126"/>
  <c r="AK23" i="126"/>
  <c r="AK24" i="126"/>
  <c r="AK25" i="126"/>
  <c r="AK26" i="126"/>
  <c r="AK27" i="126"/>
  <c r="AK28" i="126"/>
  <c r="AK29" i="126"/>
  <c r="AK30" i="126"/>
  <c r="AK31" i="126"/>
  <c r="AK32" i="126"/>
  <c r="AK33" i="126"/>
  <c r="AK34" i="126"/>
  <c r="AK35" i="126"/>
  <c r="AK36" i="126"/>
  <c r="AK38" i="126"/>
  <c r="AK39" i="126"/>
  <c r="AK40" i="126"/>
  <c r="AK41" i="126"/>
  <c r="AK43" i="126"/>
  <c r="AK42" i="126"/>
  <c r="AK44" i="126"/>
  <c r="AK45" i="126"/>
  <c r="AK48" i="126"/>
  <c r="AK46" i="126"/>
  <c r="AK49" i="126"/>
  <c r="AK47" i="126"/>
  <c r="AK50" i="126"/>
  <c r="AK63" i="126"/>
  <c r="AK66" i="126"/>
  <c r="AK65" i="126"/>
  <c r="AK58" i="126"/>
  <c r="AK57" i="126"/>
  <c r="AK61" i="126"/>
  <c r="AK60" i="126"/>
  <c r="AK51" i="126"/>
  <c r="AK62" i="126"/>
  <c r="AK59" i="126"/>
  <c r="AK53" i="126"/>
  <c r="AK55" i="126"/>
  <c r="AK71" i="126"/>
  <c r="AK64" i="126"/>
  <c r="AK67" i="126"/>
  <c r="AK37" i="126"/>
  <c r="AK76" i="126"/>
  <c r="AK70" i="126"/>
  <c r="AK77" i="126"/>
  <c r="AK68" i="126"/>
  <c r="AK69" i="126"/>
  <c r="AK74" i="126"/>
  <c r="AK72" i="126"/>
  <c r="AK78" i="126"/>
  <c r="AK75" i="126"/>
  <c r="N75" i="126"/>
  <c r="N78" i="126"/>
  <c r="N74" i="126"/>
  <c r="N70" i="126"/>
  <c r="N76" i="126"/>
  <c r="N37" i="126"/>
  <c r="N64" i="126"/>
  <c r="N71" i="126"/>
  <c r="N55" i="126"/>
  <c r="N60" i="126"/>
  <c r="N61" i="126"/>
  <c r="N50" i="126"/>
  <c r="N41" i="126"/>
  <c r="L12" i="126"/>
  <c r="L16" i="126"/>
  <c r="L15" i="126"/>
  <c r="L73" i="126"/>
  <c r="L19" i="126"/>
  <c r="L75" i="126"/>
  <c r="L78" i="126"/>
  <c r="L69" i="126"/>
  <c r="L77" i="126"/>
  <c r="L70" i="126"/>
  <c r="L37" i="126"/>
  <c r="L67" i="126"/>
  <c r="L64" i="126"/>
  <c r="L71" i="126"/>
  <c r="L55" i="126"/>
  <c r="L53" i="126"/>
  <c r="L59" i="126"/>
  <c r="L62" i="126"/>
  <c r="L51" i="126"/>
  <c r="L60" i="126"/>
  <c r="L61" i="126"/>
  <c r="L57" i="126"/>
  <c r="L58" i="126"/>
  <c r="L65" i="126"/>
  <c r="L66" i="126"/>
  <c r="L63" i="126"/>
  <c r="L50" i="126"/>
  <c r="L47" i="126"/>
  <c r="L49" i="126"/>
  <c r="L46" i="126"/>
  <c r="L48" i="126"/>
  <c r="L42" i="126"/>
  <c r="L41" i="126"/>
  <c r="Q73" i="126"/>
  <c r="AB73" i="126" s="1"/>
  <c r="R73" i="126"/>
  <c r="T73" i="126" s="1"/>
  <c r="AQ73" i="126"/>
  <c r="AS73" i="126" s="1"/>
  <c r="AR56" i="126" l="1"/>
  <c r="AR54" i="126"/>
  <c r="AR52" i="126"/>
  <c r="AS52" i="126"/>
  <c r="AS54" i="126"/>
  <c r="AS56" i="126"/>
  <c r="AS71" i="126"/>
  <c r="AE73" i="126"/>
  <c r="AD73" i="126"/>
  <c r="AA73" i="126"/>
  <c r="Z73" i="126"/>
  <c r="Y73" i="126"/>
  <c r="V73" i="126"/>
  <c r="AF73" i="126"/>
  <c r="U73" i="126"/>
  <c r="AC73" i="126"/>
  <c r="X73" i="126"/>
  <c r="W73" i="126"/>
  <c r="AR73" i="126"/>
  <c r="N65" i="126"/>
  <c r="Q42" i="126" l="1"/>
  <c r="AB42" i="126" s="1"/>
  <c r="R42" i="126"/>
  <c r="T42" i="126" s="1"/>
  <c r="U42" i="126"/>
  <c r="AQ42" i="126"/>
  <c r="AS42" i="126" s="1"/>
  <c r="Q12" i="126"/>
  <c r="Q13" i="126"/>
  <c r="Q14" i="126"/>
  <c r="Q15" i="126"/>
  <c r="Q16" i="126"/>
  <c r="Q17" i="126"/>
  <c r="Q18" i="126"/>
  <c r="Q19" i="126"/>
  <c r="Q20" i="126"/>
  <c r="Q21" i="126"/>
  <c r="Q22" i="126"/>
  <c r="Q23" i="126"/>
  <c r="Q24" i="126"/>
  <c r="Q25" i="126"/>
  <c r="Q26" i="126"/>
  <c r="Q27" i="126"/>
  <c r="Q28" i="126"/>
  <c r="Q29" i="126"/>
  <c r="Q30" i="126"/>
  <c r="Q31" i="126"/>
  <c r="Q32" i="126"/>
  <c r="Q33" i="126"/>
  <c r="Q34" i="126"/>
  <c r="Q35" i="126"/>
  <c r="Q36" i="126"/>
  <c r="Q38" i="126"/>
  <c r="Q39" i="126"/>
  <c r="Q40" i="126"/>
  <c r="Q41" i="126"/>
  <c r="Q43" i="126"/>
  <c r="Q44" i="126"/>
  <c r="U44" i="126" s="1"/>
  <c r="Q45" i="126"/>
  <c r="Q48" i="126"/>
  <c r="Q46" i="126"/>
  <c r="Q49" i="126"/>
  <c r="Q47" i="126"/>
  <c r="Q50" i="126"/>
  <c r="Q63" i="126"/>
  <c r="Q66" i="126"/>
  <c r="Q65" i="126"/>
  <c r="Q58" i="126"/>
  <c r="Q57" i="126"/>
  <c r="Q61" i="126"/>
  <c r="Q60" i="126"/>
  <c r="X60" i="126" s="1"/>
  <c r="Q51" i="126"/>
  <c r="Q62" i="126"/>
  <c r="Q59" i="126"/>
  <c r="Q53" i="126"/>
  <c r="Q55" i="126"/>
  <c r="Q71" i="126"/>
  <c r="Q64" i="126"/>
  <c r="Q67" i="126"/>
  <c r="Q37" i="126"/>
  <c r="Q76" i="126"/>
  <c r="Q70" i="126"/>
  <c r="Q77" i="126"/>
  <c r="Q68" i="126"/>
  <c r="Q69" i="126"/>
  <c r="Q74" i="126"/>
  <c r="Q72" i="126"/>
  <c r="Q78" i="126"/>
  <c r="Q75" i="126"/>
  <c r="V42" i="126" l="1"/>
  <c r="Y61" i="126"/>
  <c r="AD61" i="126"/>
  <c r="Z61" i="126"/>
  <c r="AA61" i="126"/>
  <c r="AE61" i="126"/>
  <c r="AB61" i="126"/>
  <c r="AC61" i="126"/>
  <c r="V62" i="126"/>
  <c r="W62" i="126"/>
  <c r="X62" i="126"/>
  <c r="Y62" i="126"/>
  <c r="AA62" i="126"/>
  <c r="Z62" i="126"/>
  <c r="AB62" i="126"/>
  <c r="AD62" i="126"/>
  <c r="AC62" i="126"/>
  <c r="Z42" i="126"/>
  <c r="AA42" i="126"/>
  <c r="Y42" i="126"/>
  <c r="AF42" i="126"/>
  <c r="X42" i="126"/>
  <c r="AE42" i="126"/>
  <c r="W42" i="126"/>
  <c r="AD42" i="126"/>
  <c r="AC42" i="126"/>
  <c r="AR42" i="126"/>
  <c r="AB43" i="126"/>
  <c r="X46" i="126"/>
  <c r="AA49" i="126"/>
  <c r="AB47" i="126"/>
  <c r="R43" i="126"/>
  <c r="T43" i="126" s="1"/>
  <c r="R44" i="126"/>
  <c r="T44" i="126" s="1"/>
  <c r="V44" i="126"/>
  <c r="W44" i="126"/>
  <c r="X44" i="126"/>
  <c r="Y44" i="126"/>
  <c r="Z44" i="126"/>
  <c r="AA44" i="126"/>
  <c r="AB44" i="126"/>
  <c r="AC44" i="126"/>
  <c r="AD44" i="126"/>
  <c r="AE44" i="126"/>
  <c r="AF44" i="126"/>
  <c r="R45" i="126"/>
  <c r="T45" i="126" s="1"/>
  <c r="U45" i="126"/>
  <c r="V45" i="126"/>
  <c r="W45" i="126"/>
  <c r="X45" i="126"/>
  <c r="Y45" i="126"/>
  <c r="Z45" i="126"/>
  <c r="AA45" i="126"/>
  <c r="AB45" i="126"/>
  <c r="AC45" i="126"/>
  <c r="AD45" i="126"/>
  <c r="AE45" i="126"/>
  <c r="AF45" i="126"/>
  <c r="R48" i="126"/>
  <c r="T48" i="126" s="1"/>
  <c r="U48" i="126"/>
  <c r="V48" i="126"/>
  <c r="W48" i="126"/>
  <c r="X48" i="126"/>
  <c r="Y48" i="126"/>
  <c r="Z48" i="126"/>
  <c r="AA48" i="126"/>
  <c r="AB48" i="126"/>
  <c r="AC48" i="126"/>
  <c r="AD48" i="126"/>
  <c r="AE48" i="126"/>
  <c r="AF48" i="126"/>
  <c r="R46" i="126"/>
  <c r="T46" i="126" s="1"/>
  <c r="U46" i="126"/>
  <c r="V46" i="126"/>
  <c r="W46" i="126"/>
  <c r="AC46" i="126"/>
  <c r="AD46" i="126"/>
  <c r="AE46" i="126"/>
  <c r="R49" i="126"/>
  <c r="T49" i="126" s="1"/>
  <c r="U49" i="126"/>
  <c r="V49" i="126"/>
  <c r="Y49" i="126"/>
  <c r="Z49" i="126"/>
  <c r="R47" i="126"/>
  <c r="T47" i="126" s="1"/>
  <c r="U47" i="126"/>
  <c r="V47" i="126"/>
  <c r="W47" i="126"/>
  <c r="X47" i="126"/>
  <c r="Y47" i="126"/>
  <c r="R50" i="126"/>
  <c r="T50" i="126" s="1"/>
  <c r="U50" i="126"/>
  <c r="V50" i="126"/>
  <c r="W50" i="126"/>
  <c r="X50" i="126"/>
  <c r="Y50" i="126"/>
  <c r="Z50" i="126"/>
  <c r="AA50" i="126"/>
  <c r="AB50" i="126"/>
  <c r="AC50" i="126"/>
  <c r="AD50" i="126"/>
  <c r="AE50" i="126"/>
  <c r="AF50" i="126"/>
  <c r="AQ44" i="126"/>
  <c r="AS44" i="126" s="1"/>
  <c r="AQ12" i="126"/>
  <c r="AS12" i="126" s="1"/>
  <c r="AQ14" i="126"/>
  <c r="AS14" i="126" s="1"/>
  <c r="AQ13" i="126"/>
  <c r="AS13" i="126" s="1"/>
  <c r="AQ15" i="126"/>
  <c r="AS15" i="126" s="1"/>
  <c r="AQ16" i="126"/>
  <c r="AS16" i="126" s="1"/>
  <c r="AQ17" i="126"/>
  <c r="AS17" i="126" s="1"/>
  <c r="AQ18" i="126"/>
  <c r="AS18" i="126" s="1"/>
  <c r="AQ19" i="126"/>
  <c r="AS19" i="126" s="1"/>
  <c r="AQ20" i="126"/>
  <c r="AS20" i="126" s="1"/>
  <c r="AQ21" i="126"/>
  <c r="AS21" i="126" s="1"/>
  <c r="AQ22" i="126"/>
  <c r="AS22" i="126" s="1"/>
  <c r="AQ23" i="126"/>
  <c r="AS23" i="126" s="1"/>
  <c r="AQ24" i="126"/>
  <c r="AS24" i="126" s="1"/>
  <c r="AQ25" i="126"/>
  <c r="AS25" i="126" s="1"/>
  <c r="AQ26" i="126"/>
  <c r="AS26" i="126" s="1"/>
  <c r="AQ27" i="126"/>
  <c r="AS27" i="126" s="1"/>
  <c r="AQ28" i="126"/>
  <c r="AS28" i="126" s="1"/>
  <c r="AQ29" i="126"/>
  <c r="AS29" i="126" s="1"/>
  <c r="AQ30" i="126"/>
  <c r="AS30" i="126" s="1"/>
  <c r="AQ31" i="126"/>
  <c r="AS31" i="126" s="1"/>
  <c r="AQ32" i="126"/>
  <c r="AS32" i="126" s="1"/>
  <c r="AQ33" i="126"/>
  <c r="AS33" i="126" s="1"/>
  <c r="AQ34" i="126"/>
  <c r="AS34" i="126" s="1"/>
  <c r="AQ35" i="126"/>
  <c r="AS35" i="126" s="1"/>
  <c r="AQ36" i="126"/>
  <c r="AS36" i="126" s="1"/>
  <c r="AQ38" i="126"/>
  <c r="AS38" i="126" s="1"/>
  <c r="AQ39" i="126"/>
  <c r="AS39" i="126" s="1"/>
  <c r="AQ40" i="126"/>
  <c r="AS40" i="126" s="1"/>
  <c r="AQ41" i="126"/>
  <c r="AS41" i="126" s="1"/>
  <c r="AQ43" i="126"/>
  <c r="AS43" i="126" s="1"/>
  <c r="AQ45" i="126"/>
  <c r="AS45" i="126" s="1"/>
  <c r="AQ48" i="126"/>
  <c r="AS48" i="126" s="1"/>
  <c r="AQ46" i="126"/>
  <c r="AS46" i="126" s="1"/>
  <c r="AQ49" i="126"/>
  <c r="AS49" i="126" s="1"/>
  <c r="AQ47" i="126"/>
  <c r="AS47" i="126" s="1"/>
  <c r="AQ50" i="126"/>
  <c r="AS50" i="126" s="1"/>
  <c r="AQ63" i="126"/>
  <c r="AS63" i="126" s="1"/>
  <c r="AQ66" i="126"/>
  <c r="AS66" i="126" s="1"/>
  <c r="AQ65" i="126"/>
  <c r="AS65" i="126" s="1"/>
  <c r="AQ58" i="126"/>
  <c r="AS58" i="126" s="1"/>
  <c r="AQ57" i="126"/>
  <c r="AS57" i="126" s="1"/>
  <c r="AQ61" i="126"/>
  <c r="AS61" i="126" s="1"/>
  <c r="AQ60" i="126"/>
  <c r="AS60" i="126" s="1"/>
  <c r="AQ51" i="126"/>
  <c r="AS51" i="126" s="1"/>
  <c r="AQ62" i="126"/>
  <c r="AS62" i="126" s="1"/>
  <c r="AQ59" i="126"/>
  <c r="AS59" i="126" s="1"/>
  <c r="AQ53" i="126"/>
  <c r="AS53" i="126" s="1"/>
  <c r="AQ55" i="126"/>
  <c r="AS55" i="126" s="1"/>
  <c r="AQ64" i="126"/>
  <c r="AS64" i="126" s="1"/>
  <c r="AQ67" i="126"/>
  <c r="AS67" i="126" s="1"/>
  <c r="AQ37" i="126"/>
  <c r="AS37" i="126" s="1"/>
  <c r="AQ76" i="126"/>
  <c r="AS76" i="126" s="1"/>
  <c r="AQ70" i="126"/>
  <c r="AS70" i="126" s="1"/>
  <c r="AQ77" i="126"/>
  <c r="AS77" i="126" s="1"/>
  <c r="AQ68" i="126"/>
  <c r="AS68" i="126" s="1"/>
  <c r="AQ69" i="126"/>
  <c r="AS69" i="126" s="1"/>
  <c r="AQ74" i="126"/>
  <c r="AS74" i="126" s="1"/>
  <c r="AQ72" i="126"/>
  <c r="AS72" i="126" s="1"/>
  <c r="AQ78" i="126"/>
  <c r="AS78" i="126" s="1"/>
  <c r="AQ75" i="126"/>
  <c r="AS75" i="126" s="1"/>
  <c r="AF20" i="126"/>
  <c r="AE20" i="126"/>
  <c r="AD20" i="126"/>
  <c r="AC20" i="126"/>
  <c r="AB20" i="126"/>
  <c r="AA20" i="126"/>
  <c r="Z20" i="126"/>
  <c r="Y20" i="126"/>
  <c r="X20" i="126"/>
  <c r="W20" i="126"/>
  <c r="V20" i="126"/>
  <c r="U20" i="126"/>
  <c r="R20" i="126"/>
  <c r="T20" i="126" s="1"/>
  <c r="AF40" i="126"/>
  <c r="AE40" i="126"/>
  <c r="AD40" i="126"/>
  <c r="AC40" i="126"/>
  <c r="AB40" i="126"/>
  <c r="AA40" i="126"/>
  <c r="Z40" i="126"/>
  <c r="Y40" i="126"/>
  <c r="X40" i="126"/>
  <c r="W40" i="126"/>
  <c r="V40" i="126"/>
  <c r="U40" i="126"/>
  <c r="R40" i="126"/>
  <c r="T40" i="126" s="1"/>
  <c r="AF16" i="126"/>
  <c r="AE16" i="126"/>
  <c r="AD16" i="126"/>
  <c r="AC16" i="126"/>
  <c r="AB16" i="126"/>
  <c r="AA16" i="126"/>
  <c r="Z16" i="126"/>
  <c r="Y16" i="126"/>
  <c r="X16" i="126"/>
  <c r="W16" i="126"/>
  <c r="V16" i="126"/>
  <c r="U16" i="126"/>
  <c r="R16" i="126"/>
  <c r="T16" i="126" s="1"/>
  <c r="AF34" i="126"/>
  <c r="AE34" i="126"/>
  <c r="AD34" i="126"/>
  <c r="AC34" i="126"/>
  <c r="AB34" i="126"/>
  <c r="AA34" i="126"/>
  <c r="Z34" i="126"/>
  <c r="Y34" i="126"/>
  <c r="X34" i="126"/>
  <c r="W34" i="126"/>
  <c r="V34" i="126"/>
  <c r="U34" i="126"/>
  <c r="R34" i="126"/>
  <c r="T34" i="126" s="1"/>
  <c r="AF30" i="126"/>
  <c r="AE30" i="126"/>
  <c r="AD30" i="126"/>
  <c r="AC30" i="126"/>
  <c r="AB30" i="126"/>
  <c r="AA30" i="126"/>
  <c r="Z30" i="126"/>
  <c r="Y30" i="126"/>
  <c r="X30" i="126"/>
  <c r="W30" i="126"/>
  <c r="V30" i="126"/>
  <c r="U30" i="126"/>
  <c r="R30" i="126"/>
  <c r="T30" i="126" s="1"/>
  <c r="AF70" i="126"/>
  <c r="AE70" i="126"/>
  <c r="AD70" i="126"/>
  <c r="AC70" i="126"/>
  <c r="AB70" i="126"/>
  <c r="AA70" i="126"/>
  <c r="Z70" i="126"/>
  <c r="Y70" i="126"/>
  <c r="X70" i="126"/>
  <c r="W70" i="126"/>
  <c r="V70" i="126"/>
  <c r="U70" i="126"/>
  <c r="R70" i="126"/>
  <c r="T70" i="126" s="1"/>
  <c r="AF61" i="126"/>
  <c r="X61" i="126"/>
  <c r="W61" i="126"/>
  <c r="V61" i="126"/>
  <c r="U61" i="126"/>
  <c r="R61" i="126"/>
  <c r="T61" i="126" s="1"/>
  <c r="AF41" i="126"/>
  <c r="AE41" i="126"/>
  <c r="AD41" i="126"/>
  <c r="AC41" i="126"/>
  <c r="AB41" i="126"/>
  <c r="AA41" i="126"/>
  <c r="Z41" i="126"/>
  <c r="Y41" i="126"/>
  <c r="X41" i="126"/>
  <c r="W41" i="126"/>
  <c r="V41" i="126"/>
  <c r="U41" i="126"/>
  <c r="R41" i="126"/>
  <c r="T41" i="126" s="1"/>
  <c r="AF37" i="126"/>
  <c r="AE37" i="126"/>
  <c r="AD37" i="126"/>
  <c r="AC37" i="126"/>
  <c r="AB37" i="126"/>
  <c r="AA37" i="126"/>
  <c r="Z37" i="126"/>
  <c r="Y37" i="126"/>
  <c r="X37" i="126"/>
  <c r="W37" i="126"/>
  <c r="V37" i="126"/>
  <c r="U37" i="126"/>
  <c r="R37" i="126"/>
  <c r="T37" i="126" s="1"/>
  <c r="AF66" i="126"/>
  <c r="AE66" i="126"/>
  <c r="AD66" i="126"/>
  <c r="AC66" i="126"/>
  <c r="AB66" i="126"/>
  <c r="AA66" i="126"/>
  <c r="Z66" i="126"/>
  <c r="Y66" i="126"/>
  <c r="X66" i="126"/>
  <c r="W66" i="126"/>
  <c r="V66" i="126"/>
  <c r="U66" i="126"/>
  <c r="R66" i="126"/>
  <c r="T66" i="126" s="1"/>
  <c r="AF39" i="126"/>
  <c r="AE39" i="126"/>
  <c r="AD39" i="126"/>
  <c r="AC39" i="126"/>
  <c r="AB39" i="126"/>
  <c r="AA39" i="126"/>
  <c r="Z39" i="126"/>
  <c r="Y39" i="126"/>
  <c r="X39" i="126"/>
  <c r="W39" i="126"/>
  <c r="V39" i="126"/>
  <c r="U39" i="126"/>
  <c r="R39" i="126"/>
  <c r="T39" i="126" s="1"/>
  <c r="AF64" i="126"/>
  <c r="AE64" i="126"/>
  <c r="AD64" i="126"/>
  <c r="AC64" i="126"/>
  <c r="AB64" i="126"/>
  <c r="AA64" i="126"/>
  <c r="Z64" i="126"/>
  <c r="Y64" i="126"/>
  <c r="X64" i="126"/>
  <c r="W64" i="126"/>
  <c r="V64" i="126"/>
  <c r="U64" i="126"/>
  <c r="R64" i="126"/>
  <c r="T64" i="126" s="1"/>
  <c r="AF32" i="126"/>
  <c r="AE32" i="126"/>
  <c r="AD32" i="126"/>
  <c r="AC32" i="126"/>
  <c r="AB32" i="126"/>
  <c r="AA32" i="126"/>
  <c r="Z32" i="126"/>
  <c r="Y32" i="126"/>
  <c r="X32" i="126"/>
  <c r="W32" i="126"/>
  <c r="V32" i="126"/>
  <c r="U32" i="126"/>
  <c r="R32" i="126"/>
  <c r="T32" i="126" s="1"/>
  <c r="AF78" i="126"/>
  <c r="AE78" i="126"/>
  <c r="AD78" i="126"/>
  <c r="AC78" i="126"/>
  <c r="AB78" i="126"/>
  <c r="AA78" i="126"/>
  <c r="Z78" i="126"/>
  <c r="Y78" i="126"/>
  <c r="X78" i="126"/>
  <c r="W78" i="126"/>
  <c r="V78" i="126"/>
  <c r="U78" i="126"/>
  <c r="R78" i="126"/>
  <c r="T78" i="126" s="1"/>
  <c r="AF72" i="126"/>
  <c r="AE72" i="126"/>
  <c r="AD72" i="126"/>
  <c r="AC72" i="126"/>
  <c r="AB72" i="126"/>
  <c r="AA72" i="126"/>
  <c r="Z72" i="126"/>
  <c r="Y72" i="126"/>
  <c r="X72" i="126"/>
  <c r="W72" i="126"/>
  <c r="V72" i="126"/>
  <c r="U72" i="126"/>
  <c r="R72" i="126"/>
  <c r="T72" i="126" s="1"/>
  <c r="AF69" i="126"/>
  <c r="AE69" i="126"/>
  <c r="AD69" i="126"/>
  <c r="AC69" i="126"/>
  <c r="AB69" i="126"/>
  <c r="AA69" i="126"/>
  <c r="Z69" i="126"/>
  <c r="Y69" i="126"/>
  <c r="X69" i="126"/>
  <c r="W69" i="126"/>
  <c r="V69" i="126"/>
  <c r="U69" i="126"/>
  <c r="R69" i="126"/>
  <c r="T69" i="126" s="1"/>
  <c r="AF60" i="126"/>
  <c r="AE60" i="126"/>
  <c r="AD60" i="126"/>
  <c r="AC60" i="126"/>
  <c r="AB60" i="126"/>
  <c r="AA60" i="126"/>
  <c r="Z60" i="126"/>
  <c r="Y60" i="126"/>
  <c r="W60" i="126"/>
  <c r="V60" i="126"/>
  <c r="U60" i="126"/>
  <c r="R60" i="126"/>
  <c r="T60" i="126" s="1"/>
  <c r="AF57" i="126"/>
  <c r="AE57" i="126"/>
  <c r="AD57" i="126"/>
  <c r="AC57" i="126"/>
  <c r="AB57" i="126"/>
  <c r="AA57" i="126"/>
  <c r="Z57" i="126"/>
  <c r="Y57" i="126"/>
  <c r="X57" i="126"/>
  <c r="W57" i="126"/>
  <c r="V57" i="126"/>
  <c r="U57" i="126"/>
  <c r="R57" i="126"/>
  <c r="T57" i="126" s="1"/>
  <c r="AF58" i="126"/>
  <c r="AE58" i="126"/>
  <c r="AD58" i="126"/>
  <c r="AC58" i="126"/>
  <c r="AB58" i="126"/>
  <c r="AA58" i="126"/>
  <c r="Z58" i="126"/>
  <c r="Y58" i="126"/>
  <c r="X58" i="126"/>
  <c r="W58" i="126"/>
  <c r="V58" i="126"/>
  <c r="U58" i="126"/>
  <c r="R58" i="126"/>
  <c r="T58" i="126" s="1"/>
  <c r="AF65" i="126"/>
  <c r="AE65" i="126"/>
  <c r="AD65" i="126"/>
  <c r="AC65" i="126"/>
  <c r="AB65" i="126"/>
  <c r="AA65" i="126"/>
  <c r="Z65" i="126"/>
  <c r="Y65" i="126"/>
  <c r="X65" i="126"/>
  <c r="W65" i="126"/>
  <c r="V65" i="126"/>
  <c r="U65" i="126"/>
  <c r="R65" i="126"/>
  <c r="T65" i="126" s="1"/>
  <c r="AF77" i="126"/>
  <c r="AE77" i="126"/>
  <c r="AD77" i="126"/>
  <c r="AC77" i="126"/>
  <c r="AB77" i="126"/>
  <c r="AA77" i="126"/>
  <c r="Z77" i="126"/>
  <c r="Y77" i="126"/>
  <c r="X77" i="126"/>
  <c r="W77" i="126"/>
  <c r="V77" i="126"/>
  <c r="U77" i="126"/>
  <c r="R77" i="126"/>
  <c r="T77" i="126" s="1"/>
  <c r="AF68" i="126"/>
  <c r="AE68" i="126"/>
  <c r="AD68" i="126"/>
  <c r="AC68" i="126"/>
  <c r="AB68" i="126"/>
  <c r="AA68" i="126"/>
  <c r="Z68" i="126"/>
  <c r="Y68" i="126"/>
  <c r="X68" i="126"/>
  <c r="W68" i="126"/>
  <c r="V68" i="126"/>
  <c r="U68" i="126"/>
  <c r="R68" i="126"/>
  <c r="T68" i="126" s="1"/>
  <c r="U31" i="126"/>
  <c r="R31" i="126"/>
  <c r="T31" i="126" s="1"/>
  <c r="AF55" i="126"/>
  <c r="AE55" i="126"/>
  <c r="AD55" i="126"/>
  <c r="AC55" i="126"/>
  <c r="AB55" i="126"/>
  <c r="AA55" i="126"/>
  <c r="Z55" i="126"/>
  <c r="Y55" i="126"/>
  <c r="X55" i="126"/>
  <c r="W55" i="126"/>
  <c r="V55" i="126"/>
  <c r="U55" i="126"/>
  <c r="R55" i="126"/>
  <c r="T55" i="126" s="1"/>
  <c r="AF59" i="126"/>
  <c r="AE59" i="126"/>
  <c r="AD59" i="126"/>
  <c r="AC59" i="126"/>
  <c r="AB59" i="126"/>
  <c r="AA59" i="126"/>
  <c r="Z59" i="126"/>
  <c r="Y59" i="126"/>
  <c r="X59" i="126"/>
  <c r="W59" i="126"/>
  <c r="V59" i="126"/>
  <c r="U59" i="126"/>
  <c r="R59" i="126"/>
  <c r="T59" i="126" s="1"/>
  <c r="AF67" i="126"/>
  <c r="AE67" i="126"/>
  <c r="AD67" i="126"/>
  <c r="AC67" i="126"/>
  <c r="AB67" i="126"/>
  <c r="AA67" i="126"/>
  <c r="Z67" i="126"/>
  <c r="Y67" i="126"/>
  <c r="X67" i="126"/>
  <c r="W67" i="126"/>
  <c r="V67" i="126"/>
  <c r="U67" i="126"/>
  <c r="R67" i="126"/>
  <c r="T67" i="126" s="1"/>
  <c r="AF71" i="126"/>
  <c r="AE71" i="126"/>
  <c r="AD71" i="126"/>
  <c r="AC71" i="126"/>
  <c r="AB71" i="126"/>
  <c r="AA71" i="126"/>
  <c r="Z71" i="126"/>
  <c r="Y71" i="126"/>
  <c r="X71" i="126"/>
  <c r="W71" i="126"/>
  <c r="V71" i="126"/>
  <c r="U71" i="126"/>
  <c r="R71" i="126"/>
  <c r="T71" i="126" s="1"/>
  <c r="AF53" i="126"/>
  <c r="AE53" i="126"/>
  <c r="AD53" i="126"/>
  <c r="AC53" i="126"/>
  <c r="AB53" i="126"/>
  <c r="AA53" i="126"/>
  <c r="Z53" i="126"/>
  <c r="Y53" i="126"/>
  <c r="X53" i="126"/>
  <c r="W53" i="126"/>
  <c r="V53" i="126"/>
  <c r="U53" i="126"/>
  <c r="R53" i="126"/>
  <c r="T53" i="126" s="1"/>
  <c r="AF75" i="126"/>
  <c r="AE75" i="126"/>
  <c r="AD75" i="126"/>
  <c r="AC75" i="126"/>
  <c r="AB75" i="126"/>
  <c r="AA75" i="126"/>
  <c r="Z75" i="126"/>
  <c r="Y75" i="126"/>
  <c r="X75" i="126"/>
  <c r="W75" i="126"/>
  <c r="V75" i="126"/>
  <c r="U75" i="126"/>
  <c r="R75" i="126"/>
  <c r="T75" i="126" s="1"/>
  <c r="AF17" i="126"/>
  <c r="AE17" i="126"/>
  <c r="AD17" i="126"/>
  <c r="AC17" i="126"/>
  <c r="AB17" i="126"/>
  <c r="AA17" i="126"/>
  <c r="Z17" i="126"/>
  <c r="Y17" i="126"/>
  <c r="X17" i="126"/>
  <c r="W17" i="126"/>
  <c r="V17" i="126"/>
  <c r="U17" i="126"/>
  <c r="R17" i="126"/>
  <c r="T17" i="126" s="1"/>
  <c r="AF26" i="126"/>
  <c r="AE26" i="126"/>
  <c r="AD26" i="126"/>
  <c r="AC26" i="126"/>
  <c r="AB26" i="126"/>
  <c r="AA26" i="126"/>
  <c r="Z26" i="126"/>
  <c r="Y26" i="126"/>
  <c r="X26" i="126"/>
  <c r="W26" i="126"/>
  <c r="V26" i="126"/>
  <c r="U26" i="126"/>
  <c r="R26" i="126"/>
  <c r="T26" i="126" s="1"/>
  <c r="AF27" i="126"/>
  <c r="AE27" i="126"/>
  <c r="AD27" i="126"/>
  <c r="AC27" i="126"/>
  <c r="AB27" i="126"/>
  <c r="AA27" i="126"/>
  <c r="Z27" i="126"/>
  <c r="Y27" i="126"/>
  <c r="X27" i="126"/>
  <c r="W27" i="126"/>
  <c r="V27" i="126"/>
  <c r="U27" i="126"/>
  <c r="R27" i="126"/>
  <c r="T27" i="126" s="1"/>
  <c r="AF24" i="126"/>
  <c r="AE24" i="126"/>
  <c r="AD24" i="126"/>
  <c r="AC24" i="126"/>
  <c r="AB24" i="126"/>
  <c r="AA24" i="126"/>
  <c r="Z24" i="126"/>
  <c r="Y24" i="126"/>
  <c r="X24" i="126"/>
  <c r="W24" i="126"/>
  <c r="V24" i="126"/>
  <c r="U24" i="126"/>
  <c r="R24" i="126"/>
  <c r="T24" i="126" s="1"/>
  <c r="AF23" i="126"/>
  <c r="AE23" i="126"/>
  <c r="AD23" i="126"/>
  <c r="AC23" i="126"/>
  <c r="AB23" i="126"/>
  <c r="AA23" i="126"/>
  <c r="Z23" i="126"/>
  <c r="Y23" i="126"/>
  <c r="X23" i="126"/>
  <c r="W23" i="126"/>
  <c r="V23" i="126"/>
  <c r="U23" i="126"/>
  <c r="R23" i="126"/>
  <c r="T23" i="126" s="1"/>
  <c r="AF25" i="126"/>
  <c r="AE25" i="126"/>
  <c r="AD25" i="126"/>
  <c r="AC25" i="126"/>
  <c r="AB25" i="126"/>
  <c r="AA25" i="126"/>
  <c r="Z25" i="126"/>
  <c r="Y25" i="126"/>
  <c r="X25" i="126"/>
  <c r="W25" i="126"/>
  <c r="V25" i="126"/>
  <c r="U25" i="126"/>
  <c r="R25" i="126"/>
  <c r="T25" i="126" s="1"/>
  <c r="AF38" i="126"/>
  <c r="AE38" i="126"/>
  <c r="AD38" i="126"/>
  <c r="AC38" i="126"/>
  <c r="AB38" i="126"/>
  <c r="AA38" i="126"/>
  <c r="Z38" i="126"/>
  <c r="Y38" i="126"/>
  <c r="X38" i="126"/>
  <c r="W38" i="126"/>
  <c r="V38" i="126"/>
  <c r="U38" i="126"/>
  <c r="R38" i="126"/>
  <c r="T38" i="126" s="1"/>
  <c r="W1" i="121"/>
  <c r="V1" i="121"/>
  <c r="D4" i="119"/>
  <c r="D3" i="119"/>
  <c r="D2" i="119"/>
  <c r="R22" i="126"/>
  <c r="T22" i="126" s="1"/>
  <c r="U22" i="126"/>
  <c r="V22" i="126"/>
  <c r="W22" i="126"/>
  <c r="X22" i="126"/>
  <c r="Y22" i="126"/>
  <c r="Z22" i="126"/>
  <c r="AA22" i="126"/>
  <c r="AB22" i="126"/>
  <c r="AC22" i="126"/>
  <c r="AD22" i="126"/>
  <c r="AE22" i="126"/>
  <c r="AF22" i="126"/>
  <c r="Y12" i="126"/>
  <c r="R35" i="126"/>
  <c r="T35" i="126" s="1"/>
  <c r="U35" i="126"/>
  <c r="V35" i="126"/>
  <c r="W35" i="126"/>
  <c r="X35" i="126"/>
  <c r="Y35" i="126"/>
  <c r="Z35" i="126"/>
  <c r="AA35" i="126"/>
  <c r="AB35" i="126"/>
  <c r="AC35" i="126"/>
  <c r="AD35" i="126"/>
  <c r="AE35" i="126"/>
  <c r="AF35" i="126"/>
  <c r="R76" i="126"/>
  <c r="T76" i="126" s="1"/>
  <c r="U76" i="126"/>
  <c r="V76" i="126"/>
  <c r="W76" i="126"/>
  <c r="X76" i="126"/>
  <c r="Y76" i="126"/>
  <c r="Z76" i="126"/>
  <c r="AA76" i="126"/>
  <c r="AB76" i="126"/>
  <c r="AC76" i="126"/>
  <c r="AD76" i="126"/>
  <c r="AE76" i="126"/>
  <c r="AF76" i="126"/>
  <c r="R19" i="126"/>
  <c r="T19" i="126" s="1"/>
  <c r="U19" i="126"/>
  <c r="V19" i="126"/>
  <c r="W19" i="126"/>
  <c r="X19" i="126"/>
  <c r="Y19" i="126"/>
  <c r="Z19" i="126"/>
  <c r="AA19" i="126"/>
  <c r="AB19" i="126"/>
  <c r="AC19" i="126"/>
  <c r="AD19" i="126"/>
  <c r="AE19" i="126"/>
  <c r="AF19" i="126"/>
  <c r="B16" i="119"/>
  <c r="B17" i="119"/>
  <c r="B18" i="119"/>
  <c r="B15" i="119"/>
  <c r="B22" i="119"/>
  <c r="B23" i="119"/>
  <c r="B24" i="119"/>
  <c r="B25" i="119"/>
  <c r="B26" i="119"/>
  <c r="B27" i="119"/>
  <c r="B28" i="119"/>
  <c r="K5" i="119"/>
  <c r="K4" i="119"/>
  <c r="K3" i="119"/>
  <c r="F23" i="119"/>
  <c r="F22" i="119"/>
  <c r="Y1" i="126"/>
  <c r="AF62" i="126"/>
  <c r="AF74" i="126"/>
  <c r="AF63" i="126"/>
  <c r="AF14" i="126"/>
  <c r="AF18" i="126"/>
  <c r="AF13" i="126"/>
  <c r="AF51" i="126"/>
  <c r="AF21" i="126"/>
  <c r="AF28" i="126"/>
  <c r="AF15" i="126"/>
  <c r="AF29" i="126"/>
  <c r="AF33" i="126"/>
  <c r="AF36" i="126"/>
  <c r="AE62" i="126"/>
  <c r="AE74" i="126"/>
  <c r="AE63" i="126"/>
  <c r="AE14" i="126"/>
  <c r="AE18" i="126"/>
  <c r="AE13" i="126"/>
  <c r="AE51" i="126"/>
  <c r="AE21" i="126"/>
  <c r="AE28" i="126"/>
  <c r="AE15" i="126"/>
  <c r="AE29" i="126"/>
  <c r="AE33" i="126"/>
  <c r="AE36" i="126"/>
  <c r="AD74" i="126"/>
  <c r="AD63" i="126"/>
  <c r="AD14" i="126"/>
  <c r="AD18" i="126"/>
  <c r="AD13" i="126"/>
  <c r="AD51" i="126"/>
  <c r="AD21" i="126"/>
  <c r="AD28" i="126"/>
  <c r="AD15" i="126"/>
  <c r="AD29" i="126"/>
  <c r="AD33" i="126"/>
  <c r="AD36" i="126"/>
  <c r="AC74" i="126"/>
  <c r="AC63" i="126"/>
  <c r="AC14" i="126"/>
  <c r="AC18" i="126"/>
  <c r="AC13" i="126"/>
  <c r="AC51" i="126"/>
  <c r="AC21" i="126"/>
  <c r="AC28" i="126"/>
  <c r="AC15" i="126"/>
  <c r="AC29" i="126"/>
  <c r="AC33" i="126"/>
  <c r="AC36" i="126"/>
  <c r="AB74" i="126"/>
  <c r="AB63" i="126"/>
  <c r="AB14" i="126"/>
  <c r="AB18" i="126"/>
  <c r="AB13" i="126"/>
  <c r="AB51" i="126"/>
  <c r="AB21" i="126"/>
  <c r="AB28" i="126"/>
  <c r="AB15" i="126"/>
  <c r="AB29" i="126"/>
  <c r="AB33" i="126"/>
  <c r="AB36" i="126"/>
  <c r="AA74" i="126"/>
  <c r="AA63" i="126"/>
  <c r="AA14" i="126"/>
  <c r="AA18" i="126"/>
  <c r="AA13" i="126"/>
  <c r="AA51" i="126"/>
  <c r="AA21" i="126"/>
  <c r="AA28" i="126"/>
  <c r="AA15" i="126"/>
  <c r="AA29" i="126"/>
  <c r="AA33" i="126"/>
  <c r="AA36" i="126"/>
  <c r="Z74" i="126"/>
  <c r="Z63" i="126"/>
  <c r="Z14" i="126"/>
  <c r="Z18" i="126"/>
  <c r="Z13" i="126"/>
  <c r="Z51" i="126"/>
  <c r="Z21" i="126"/>
  <c r="Z28" i="126"/>
  <c r="Z15" i="126"/>
  <c r="Z29" i="126"/>
  <c r="Z33" i="126"/>
  <c r="Z36" i="126"/>
  <c r="Y74" i="126"/>
  <c r="Y63" i="126"/>
  <c r="Y14" i="126"/>
  <c r="Y18" i="126"/>
  <c r="Y13" i="126"/>
  <c r="Y51" i="126"/>
  <c r="Y21" i="126"/>
  <c r="Y28" i="126"/>
  <c r="Y15" i="126"/>
  <c r="Y29" i="126"/>
  <c r="Y33" i="126"/>
  <c r="Y36" i="126"/>
  <c r="X74" i="126"/>
  <c r="X63" i="126"/>
  <c r="X14" i="126"/>
  <c r="X18" i="126"/>
  <c r="X13" i="126"/>
  <c r="X51" i="126"/>
  <c r="X21" i="126"/>
  <c r="X28" i="126"/>
  <c r="X15" i="126"/>
  <c r="X29" i="126"/>
  <c r="X33" i="126"/>
  <c r="X36" i="126"/>
  <c r="W74" i="126"/>
  <c r="W63" i="126"/>
  <c r="W14" i="126"/>
  <c r="W18" i="126"/>
  <c r="W13" i="126"/>
  <c r="W51" i="126"/>
  <c r="W21" i="126"/>
  <c r="W28" i="126"/>
  <c r="W15" i="126"/>
  <c r="W29" i="126"/>
  <c r="W33" i="126"/>
  <c r="W36" i="126"/>
  <c r="V74" i="126"/>
  <c r="V63" i="126"/>
  <c r="V14" i="126"/>
  <c r="V18" i="126"/>
  <c r="V13" i="126"/>
  <c r="V51" i="126"/>
  <c r="V21" i="126"/>
  <c r="V28" i="126"/>
  <c r="V15" i="126"/>
  <c r="V29" i="126"/>
  <c r="V33" i="126"/>
  <c r="V36" i="126"/>
  <c r="U74" i="126"/>
  <c r="U63" i="126"/>
  <c r="U14" i="126"/>
  <c r="U18" i="126"/>
  <c r="U13" i="126"/>
  <c r="U51" i="126"/>
  <c r="U21" i="126"/>
  <c r="U28" i="126"/>
  <c r="U15" i="126"/>
  <c r="U29" i="126"/>
  <c r="U33" i="126"/>
  <c r="U36" i="126"/>
  <c r="R62" i="126"/>
  <c r="T62" i="126" s="1"/>
  <c r="R74" i="126"/>
  <c r="T74" i="126" s="1"/>
  <c r="R63" i="126"/>
  <c r="T63" i="126" s="1"/>
  <c r="R14" i="126"/>
  <c r="T14" i="126" s="1"/>
  <c r="R13" i="126"/>
  <c r="T13" i="126" s="1"/>
  <c r="R51" i="126"/>
  <c r="T51" i="126" s="1"/>
  <c r="R21" i="126"/>
  <c r="T21" i="126" s="1"/>
  <c r="R28" i="126"/>
  <c r="T28" i="126" s="1"/>
  <c r="R15" i="126"/>
  <c r="T15" i="126" s="1"/>
  <c r="R29" i="126"/>
  <c r="T29" i="126" s="1"/>
  <c r="R36" i="126"/>
  <c r="T36" i="126" s="1"/>
  <c r="E79" i="126"/>
  <c r="X2" i="126" s="1"/>
  <c r="O5" i="126"/>
  <c r="X3" i="126"/>
  <c r="AD2" i="126"/>
  <c r="AE1" i="126"/>
  <c r="M5" i="121"/>
  <c r="M6" i="121" s="1"/>
  <c r="M7" i="121" s="1"/>
  <c r="M8" i="121" s="1"/>
  <c r="M9" i="121" s="1"/>
  <c r="M10" i="121" s="1"/>
  <c r="M11" i="121" s="1"/>
  <c r="M12" i="121" s="1"/>
  <c r="M13" i="121" s="1"/>
  <c r="M14" i="121" s="1"/>
  <c r="M15" i="121" s="1"/>
  <c r="M16" i="121" s="1"/>
  <c r="M17" i="121" s="1"/>
  <c r="M18" i="121" s="1"/>
  <c r="M19" i="121" s="1"/>
  <c r="M20" i="121" s="1"/>
  <c r="M21" i="121" s="1"/>
  <c r="M22" i="121" s="1"/>
  <c r="X12" i="121" l="1"/>
  <c r="X22" i="121"/>
  <c r="X32" i="121"/>
  <c r="X7" i="121"/>
  <c r="X17" i="121"/>
  <c r="X27" i="121"/>
  <c r="AF49" i="126"/>
  <c r="X49" i="126"/>
  <c r="AA47" i="126"/>
  <c r="AE49" i="126"/>
  <c r="W49" i="126"/>
  <c r="AB46" i="126"/>
  <c r="AD49" i="126"/>
  <c r="AA46" i="126"/>
  <c r="AC49" i="126"/>
  <c r="Z46" i="126"/>
  <c r="AA43" i="126"/>
  <c r="AB49" i="126"/>
  <c r="Y46" i="126"/>
  <c r="AF46" i="126"/>
  <c r="AR44" i="126"/>
  <c r="Z47" i="126"/>
  <c r="Z43" i="126"/>
  <c r="Y43" i="126"/>
  <c r="AF47" i="126"/>
  <c r="AF43" i="126"/>
  <c r="X43" i="126"/>
  <c r="AE47" i="126"/>
  <c r="AE43" i="126"/>
  <c r="W43" i="126"/>
  <c r="AD47" i="126"/>
  <c r="AD43" i="126"/>
  <c r="V43" i="126"/>
  <c r="AC47" i="126"/>
  <c r="AC43" i="126"/>
  <c r="U43" i="126"/>
  <c r="AR12" i="126"/>
  <c r="AB12" i="126"/>
  <c r="Z12" i="126"/>
  <c r="X12" i="126"/>
  <c r="AA12" i="126"/>
  <c r="AF12" i="126"/>
  <c r="W12" i="126"/>
  <c r="AE12" i="126"/>
  <c r="V12" i="126"/>
  <c r="AD12" i="126"/>
  <c r="U12" i="126"/>
  <c r="AC12" i="126"/>
  <c r="R12" i="126"/>
  <c r="T12" i="126" s="1"/>
  <c r="AR49" i="126"/>
  <c r="AR26" i="126"/>
  <c r="AR39" i="126"/>
  <c r="AR65" i="126"/>
  <c r="AR45" i="126"/>
  <c r="AR34" i="126"/>
  <c r="AR24" i="126"/>
  <c r="AR78" i="126"/>
  <c r="AR32" i="126"/>
  <c r="AR27" i="126"/>
  <c r="AR58" i="126"/>
  <c r="AR61" i="126"/>
  <c r="AR31" i="126"/>
  <c r="AR57" i="126"/>
  <c r="AR72" i="126"/>
  <c r="AR40" i="126"/>
  <c r="AR69" i="126"/>
  <c r="AR53" i="126"/>
  <c r="AR70" i="126"/>
  <c r="AR59" i="126"/>
  <c r="AR66" i="126"/>
  <c r="AR17" i="126"/>
  <c r="AR68" i="126"/>
  <c r="AR47" i="126"/>
  <c r="AR64" i="126"/>
  <c r="AR16" i="126"/>
  <c r="AR75" i="126"/>
  <c r="AR37" i="126"/>
  <c r="AR30" i="126"/>
  <c r="AR55" i="126"/>
  <c r="AR38" i="126"/>
  <c r="AR67" i="126"/>
  <c r="AR43" i="126"/>
  <c r="AR20" i="126"/>
  <c r="AR25" i="126"/>
  <c r="AR46" i="126"/>
  <c r="AR77" i="126"/>
  <c r="AR60" i="126"/>
  <c r="AR50" i="126"/>
  <c r="AR41" i="126"/>
  <c r="AR23" i="126"/>
  <c r="AR71" i="126"/>
  <c r="AR22" i="126"/>
  <c r="M10" i="126"/>
  <c r="AR35" i="126"/>
  <c r="AR19" i="126"/>
  <c r="AR76" i="126"/>
  <c r="AR51" i="126"/>
  <c r="K10" i="126"/>
  <c r="U62" i="126"/>
  <c r="AR14" i="126"/>
  <c r="R33" i="126"/>
  <c r="T33" i="126" s="1"/>
  <c r="R18" i="126"/>
  <c r="T18" i="126" s="1"/>
  <c r="AR74" i="126"/>
  <c r="AR63" i="126"/>
  <c r="AR62" i="126"/>
  <c r="AR29" i="126"/>
  <c r="AR13" i="126"/>
  <c r="AR36" i="126"/>
  <c r="AR21" i="126"/>
  <c r="AR28" i="126"/>
  <c r="AR48" i="126"/>
  <c r="AR18" i="126"/>
  <c r="AR15" i="126"/>
  <c r="AR33" i="126"/>
  <c r="B29" i="119"/>
  <c r="C23" i="119" s="1"/>
  <c r="M23" i="121"/>
  <c r="M24" i="121" s="1"/>
  <c r="M25" i="121" s="1"/>
  <c r="M26" i="121" s="1"/>
  <c r="M27" i="121" s="1"/>
  <c r="M28" i="121" s="1"/>
  <c r="M29" i="121" s="1"/>
  <c r="M30" i="121" s="1"/>
  <c r="M31" i="121" s="1"/>
  <c r="M32" i="121" s="1"/>
  <c r="M33" i="121" s="1"/>
  <c r="C27" i="119" l="1"/>
  <c r="C24" i="119"/>
  <c r="C28" i="119"/>
  <c r="C26" i="119"/>
  <c r="V2" i="121"/>
  <c r="W2" i="121"/>
  <c r="B10" i="119"/>
  <c r="B11" i="119"/>
  <c r="B12" i="119"/>
  <c r="B9" i="119"/>
  <c r="C25" i="119"/>
  <c r="E3" i="119"/>
  <c r="C17" i="119"/>
  <c r="C18" i="119"/>
  <c r="E4" i="119"/>
  <c r="E2" i="119"/>
  <c r="C15" i="119"/>
  <c r="C16" i="119"/>
  <c r="C22" i="119"/>
  <c r="G22" i="119"/>
  <c r="G23" i="119"/>
  <c r="G8" i="121" l="1"/>
  <c r="G7" i="121"/>
  <c r="H7" i="121" l="1"/>
  <c r="H8" i="121"/>
  <c r="B13" i="119" l="1"/>
  <c r="C10" i="119" s="1"/>
  <c r="C12" i="119" l="1"/>
  <c r="C9" i="119"/>
  <c r="C11" i="119"/>
</calcChain>
</file>

<file path=xl/sharedStrings.xml><?xml version="1.0" encoding="utf-8"?>
<sst xmlns="http://schemas.openxmlformats.org/spreadsheetml/2006/main" count="810" uniqueCount="268">
  <si>
    <t>Estratégico</t>
  </si>
  <si>
    <t>KPI definidos (nível tático-operacional)</t>
  </si>
  <si>
    <t>Operacional</t>
  </si>
  <si>
    <t>KPI 1</t>
  </si>
  <si>
    <t>Captura de Receita Ponto Ecoa (35MM)</t>
  </si>
  <si>
    <t>KPI 2</t>
  </si>
  <si>
    <t>Captura de Receita Energia Verde  (60MM)</t>
  </si>
  <si>
    <t>KPI 3</t>
  </si>
  <si>
    <t>Aumento de base de usuário</t>
  </si>
  <si>
    <t>KPI 4</t>
  </si>
  <si>
    <t>Ganho de Eficiência no Fluxo operacional</t>
  </si>
  <si>
    <t>KPI 5</t>
  </si>
  <si>
    <t>Frequencia e Relevancia no clientes</t>
  </si>
  <si>
    <t>Eixos Estratégicos</t>
  </si>
  <si>
    <t>PESOS</t>
  </si>
  <si>
    <t>KPI</t>
  </si>
  <si>
    <t>SCORE2</t>
  </si>
  <si>
    <t>ID</t>
  </si>
  <si>
    <t>u</t>
  </si>
  <si>
    <t>Ciclo</t>
  </si>
  <si>
    <t>INICIATIVAS PORTFÓLIO 2026</t>
  </si>
  <si>
    <t>Portfólio</t>
  </si>
  <si>
    <t>Classific.</t>
  </si>
  <si>
    <t>Onde Estamos</t>
  </si>
  <si>
    <t>Área</t>
  </si>
  <si>
    <t>Owner</t>
  </si>
  <si>
    <t>CAPEX</t>
  </si>
  <si>
    <t>R$ Capex</t>
  </si>
  <si>
    <t>OPEX</t>
  </si>
  <si>
    <t>R$ OPEX</t>
  </si>
  <si>
    <t>SPRINT</t>
  </si>
  <si>
    <t>Dt. INÍCIO</t>
  </si>
  <si>
    <t>TÉRMINO</t>
  </si>
  <si>
    <t>%Prev.</t>
  </si>
  <si>
    <t>%Real</t>
  </si>
  <si>
    <t>Stat</t>
  </si>
  <si>
    <t>1
 m</t>
  </si>
  <si>
    <t>2
 m2</t>
  </si>
  <si>
    <t>3
 m3</t>
  </si>
  <si>
    <t>4
 m4</t>
  </si>
  <si>
    <t>5
 m5</t>
  </si>
  <si>
    <t>6
 m6</t>
  </si>
  <si>
    <t>7
 m7</t>
  </si>
  <si>
    <t>8
 m</t>
  </si>
  <si>
    <t>9
 m</t>
  </si>
  <si>
    <t>10
 m</t>
  </si>
  <si>
    <t>11
 m</t>
  </si>
  <si>
    <t>12
 m</t>
  </si>
  <si>
    <t>Risco</t>
  </si>
  <si>
    <t>Encantar os Clientes</t>
  </si>
  <si>
    <t>Alta Rentabilidade</t>
  </si>
  <si>
    <t>Capital com Foco</t>
  </si>
  <si>
    <t>SCORE</t>
  </si>
  <si>
    <t>K1</t>
  </si>
  <si>
    <t>K2</t>
  </si>
  <si>
    <t>K3</t>
  </si>
  <si>
    <t>K4</t>
  </si>
  <si>
    <t>K5</t>
  </si>
  <si>
    <t>Relev.</t>
  </si>
  <si>
    <t>Score Geral</t>
  </si>
  <si>
    <t>QM</t>
  </si>
  <si>
    <t>Detalhe do Risco</t>
  </si>
  <si>
    <t>BBPR01</t>
  </si>
  <si>
    <t>Automatização de processo de cobrança via wats</t>
  </si>
  <si>
    <t>BBF</t>
  </si>
  <si>
    <t>Projeto</t>
  </si>
  <si>
    <t>Tecnologia</t>
  </si>
  <si>
    <t>Fabiano</t>
  </si>
  <si>
    <t>BBDI02</t>
  </si>
  <si>
    <t>Automatizar todos os processos que estão em planilhas</t>
  </si>
  <si>
    <t>Discussão</t>
  </si>
  <si>
    <r>
      <rPr>
        <sz val="12"/>
        <color rgb="FF000000"/>
        <rFont val="Calibri"/>
        <family val="2"/>
        <scheme val="minor"/>
      </rPr>
      <t>1-Horas/Homem Economizadas</t>
    </r>
    <r>
      <rPr>
        <b/>
        <sz val="12"/>
        <color rgb="FF000000"/>
        <rFont val="Calibri"/>
        <family val="2"/>
        <scheme val="minor"/>
      </rPr>
      <t>:</t>
    </r>
    <r>
      <rPr>
        <b/>
        <sz val="11"/>
        <color rgb="FF000000"/>
        <rFont val="Calibri"/>
        <family val="2"/>
        <scheme val="minor"/>
      </rPr>
      <t xml:space="preserve"> T</t>
    </r>
    <r>
      <rPr>
        <sz val="11"/>
        <color rgb="FF000000"/>
        <rFont val="Calibri"/>
        <family val="2"/>
        <scheme val="minor"/>
      </rPr>
      <t>empo poupado da equipe operacional mensalmente. 2- Redução de Erro Humano: % de redução em falhas de digitação/processamento.</t>
    </r>
  </si>
  <si>
    <t>BBPR03</t>
  </si>
  <si>
    <t>Centralização de dados de todas as areas e sistemas(Data lake)</t>
  </si>
  <si>
    <r>
      <rPr>
        <sz val="11"/>
        <color rgb="FF000000"/>
        <rFont val="Calibri"/>
        <family val="2"/>
        <scheme val="minor"/>
      </rPr>
      <t>1- Cobertura de Dados</t>
    </r>
    <r>
      <rPr>
        <b/>
        <sz val="11"/>
        <color rgb="FF000000"/>
        <rFont val="Calibri"/>
        <family val="2"/>
        <scheme val="minor"/>
      </rPr>
      <t>:</t>
    </r>
    <r>
      <rPr>
        <sz val="11"/>
        <color rgb="FF000000"/>
        <rFont val="Calibri"/>
        <family val="2"/>
        <scheme val="minor"/>
      </rPr>
      <t xml:space="preserve"> % de sistemas legados integrados ao Lake. 2- Uso de Dados: Nº de áreas de negócio consumindo dados ativamente do Lake para tomada de decisão.</t>
    </r>
  </si>
  <si>
    <t>EVDE04</t>
  </si>
  <si>
    <t>Comunidades em camadas</t>
  </si>
  <si>
    <t>Evolução</t>
  </si>
  <si>
    <t>Demanda</t>
  </si>
  <si>
    <t>BBDE05</t>
  </si>
  <si>
    <t>Criar alertas para monitorar a operação</t>
  </si>
  <si>
    <r>
      <t xml:space="preserve">• </t>
    </r>
    <r>
      <rPr>
        <b/>
        <sz val="11"/>
        <color theme="1"/>
        <rFont val="Calibri"/>
        <family val="2"/>
        <scheme val="minor"/>
      </rPr>
      <t>Uso de Dados:</t>
    </r>
    <r>
      <rPr>
        <sz val="11"/>
        <color theme="1"/>
        <rFont val="Calibri"/>
        <family val="2"/>
        <scheme val="minor"/>
      </rPr>
      <t xml:space="preserve"> Nº de áreas de negócio consumindo dados ativamente do Lake para tomada de decisão.</t>
    </r>
  </si>
  <si>
    <t>EVPR06</t>
  </si>
  <si>
    <t>Criar anúncios mensurando carbono no app</t>
  </si>
  <si>
    <t>1- Ad Revenue: Receita gerada com a publicidade. 2- Impacto Percebido: Toneladas de carbono "visualizadas/conscientizadas" pelos usuários.</t>
  </si>
  <si>
    <t>EVPR07</t>
  </si>
  <si>
    <t>Criar dataset utilizando nosso data lake para marchine learning (própria)</t>
  </si>
  <si>
    <t>1- Qualidade do Dataset: % de dados limpos e utilizáveis sem pré-processamento manual.2- Time-to-Model: Redução no tempo para criar e treinar novos modelos preditivos.</t>
  </si>
  <si>
    <t>BBDE08</t>
  </si>
  <si>
    <t>Criar news letter</t>
  </si>
  <si>
    <t>EVDE10</t>
  </si>
  <si>
    <t>Criar novas dinâmicas de transferência de pontos pelo parceiro (CPF no PDV, leitura de cupom fiscal, entre outros)</t>
  </si>
  <si>
    <t>1- Volume de Pontos: Total de pontos gerados/transferidos por novas dinâmicas. 2- Adesão de Parceiros: Nº de PDVs ativos utilizando a leitura de cupom/CPF.</t>
  </si>
  <si>
    <t>EVPR11</t>
  </si>
  <si>
    <t>Evoluir a Integração bancária de gateway de pagamento cont de luz</t>
  </si>
  <si>
    <t>1- Taxa de Aprovação: Aumento na % de transações efetuadas sem bugs. 2- Custo por Transação: Redução nas taxas pagas aos processadores de pagamento.</t>
  </si>
  <si>
    <t>EVPR12</t>
  </si>
  <si>
    <t>Geração de pontos rastreados Blockchain</t>
  </si>
  <si>
    <t>1- Auditabilidade: % de pontos emitidos com rastro verificável on-chain.</t>
  </si>
  <si>
    <t>EVDE13</t>
  </si>
  <si>
    <t>Gerar receita marktplace NFTs</t>
  </si>
  <si>
    <t>1- GMV (Gross Merchandise Value): Valor total de vendas de NFTs.2- Take Rate: Receita líquida gerada para a empresa sobre as vendas.</t>
  </si>
  <si>
    <t>EVDE14</t>
  </si>
  <si>
    <t>Identidade digitais na plataforma</t>
  </si>
  <si>
    <t>1- Taxa de Verificação: % da base de usuários com identidade validada.</t>
  </si>
  <si>
    <t>BBPR15</t>
  </si>
  <si>
    <t>Implantar Boot com IA atendimento integrado com BETA</t>
  </si>
  <si>
    <t>1- Taxa de Retenção do Bot: % de atendimentos resolvidos sem transbordo para humano.2-Satisfação do Cliente (CSAT): Nota média dada ao atendimento da IA.</t>
  </si>
  <si>
    <t>EVPR16</t>
  </si>
  <si>
    <t>Implementar Pesquisa de clientes dentro app</t>
  </si>
  <si>
    <t>1- Taxa de Resposta: % de usuários que engajam com as pesquisas. 2- Insights Gerados: Nº de melhorias de produto implementadas baseadas no feedback.</t>
  </si>
  <si>
    <t>EVDI17</t>
  </si>
  <si>
    <t xml:space="preserve">Implementar Soul bank </t>
  </si>
  <si>
    <t>1- CAC (Custo de Aquisição): Custo para abrir uma nova conta Soul Bank. 2- Contas Ativas: Nº de usuários que realizam ao menos uma transação/mês.</t>
  </si>
  <si>
    <t>EVPR18</t>
  </si>
  <si>
    <t>Integração byte dance</t>
  </si>
  <si>
    <t>1- Engajamento Cruzado: Tempo de permanência no app impulsionado por conteúdo ByteDance. 2- Aquisição via Parceiro: Nº de novos usuários vindos da integração.</t>
  </si>
  <si>
    <t>BBDE19</t>
  </si>
  <si>
    <t>Integração Deezer</t>
  </si>
  <si>
    <t>1- Ativação de Benefício: % de usuários que ativam a conta Deezer via Soul.</t>
  </si>
  <si>
    <t>BBDE20</t>
  </si>
  <si>
    <t>Integrar sistemas externos com Beta</t>
  </si>
  <si>
    <t>1- Taxa de Erro: % de falhas na comunicação entre sistemas.</t>
  </si>
  <si>
    <t>EVPR21</t>
  </si>
  <si>
    <t>Melhorar a usabilidade do programa de pontos no app Soul e plataforma de Vales</t>
  </si>
  <si>
    <t>1- Taxa de Conversão de Resgate: % de usuários que completam um resgate após visualizar o catálogo.</t>
  </si>
  <si>
    <t>BBPR22</t>
  </si>
  <si>
    <t>Sistema integrado COMPLETO dos pontos ecoa/vales energia (estoque/comercial/faturamento/financeiro/contabil)</t>
  </si>
  <si>
    <t>1- Acurácia de Dados: % de redução de divergências entre estoque, comercial e financeiro. 2- Tempo de Fechamento: Redução no tempo necessário para fechar o balanço contábil mensal.</t>
  </si>
  <si>
    <t>BBPR23</t>
  </si>
  <si>
    <t>Soul bussiness + compra de pontos via web</t>
  </si>
  <si>
    <t>1- Vendas B2B: Receita total de venda de pontos para empresas. 2- Funil de Vendas Web: Taxa de conversão de visitantes do site em compradores.</t>
  </si>
  <si>
    <t>EVPR24</t>
  </si>
  <si>
    <t>Taguear o App</t>
  </si>
  <si>
    <t>1- Cobertura de Eventos: % de jornadas do usuário 100% mapeadas. 2- Confiabilidade: % de consistência dos dados entre Analytics e Banco de Dados.</t>
  </si>
  <si>
    <t>EVDI25</t>
  </si>
  <si>
    <t>Ter um painel de visibilidade do fluxo do processo jurídico</t>
  </si>
  <si>
    <t>1- Tempo de Atualização: Redução no lead time entre a atualização no tribunal ou interna e a visibilidade no painel. 2- Satisfação do Stakeholder: NPS interno da área jurídica quanto à facilidade de gestão.</t>
  </si>
  <si>
    <t>EVPR26</t>
  </si>
  <si>
    <t>Transferencia de pontos via wallet</t>
  </si>
  <si>
    <t>1- Volume Transacionado (TPV): Valor total movimentado via wallet. 2- Taxa de Utilização: % da base de usuários que utiliza a função de transferência.</t>
  </si>
  <si>
    <t>EVDI55</t>
  </si>
  <si>
    <t>Unificar o pagamento da conta de luz dos clientes com a fatura da energia verde, com pontos ecoa.</t>
  </si>
  <si>
    <t>EVPR27</t>
  </si>
  <si>
    <t>Validação financeira em IA para orçamento</t>
  </si>
  <si>
    <t>1- Acurácia Preditiva: % de assertividade da IA vs. Orçamento Realizado. 2- Desvio Orçamentário: Redução de desvios não planejados detectados precocemente.</t>
  </si>
  <si>
    <t>EVID28</t>
  </si>
  <si>
    <t>Criar integração com jogos e missões diárias no App</t>
  </si>
  <si>
    <t>Ideia</t>
  </si>
  <si>
    <t>Produtos</t>
  </si>
  <si>
    <t>Camila</t>
  </si>
  <si>
    <t>1) Volumetria de Pontos Distribuídos:
1.1) Geral
1.2) Missões pelo App 
2) Usuários ativos na plataforma
3) Tempo médio por seção</t>
  </si>
  <si>
    <t>EVDI29</t>
  </si>
  <si>
    <t>Criar jornada de coalizão entre os produtos: EV, Pontos Ecoa e Soul Up</t>
  </si>
  <si>
    <t>1) % Cliente EV utilizando na Soul UP
2) Volume de Pagamento da conta de luz dentro do app 
3) Volume de clientes que pagam conta de luz
4) LTV EV 
5) Churn EV</t>
  </si>
  <si>
    <t>EVID30</t>
  </si>
  <si>
    <t>Criar novas linhas de receita (compra de pontos, assinatura mensal)</t>
  </si>
  <si>
    <t>1) Receita por linha
2) Base de usuários por linha
3) LTV do que tem assinatura
4) Inadimplência do que tem assinatura</t>
  </si>
  <si>
    <t>BBID32</t>
  </si>
  <si>
    <t>Definir o Bugdet de marketing anual para ações e campanhas</t>
  </si>
  <si>
    <t>Marketing</t>
  </si>
  <si>
    <t xml:space="preserve">Maria </t>
  </si>
  <si>
    <t>BBDI31</t>
  </si>
  <si>
    <t>Contratar Buzz Monitor, Adobe, Canva, CapCut</t>
  </si>
  <si>
    <t>Maria</t>
  </si>
  <si>
    <t>BBDI33</t>
  </si>
  <si>
    <t>Criar gestão a vista das campanhas e frentes estratégicas da área de Marketing</t>
  </si>
  <si>
    <t>BBDE34</t>
  </si>
  <si>
    <t>Criar segmentação de base de clientes por região (Beta e Mongage)</t>
  </si>
  <si>
    <t>BBID36</t>
  </si>
  <si>
    <t>Contratar o Embaixador da marca Energia Verde</t>
  </si>
  <si>
    <t>BBID38</t>
  </si>
  <si>
    <t>Criar plano de mídia para patrocínios e TV aberta</t>
  </si>
  <si>
    <t>BBID35</t>
  </si>
  <si>
    <t>Planejar ações de trade marketing e ativação de marca em feira/eventos</t>
  </si>
  <si>
    <t>BBDI37</t>
  </si>
  <si>
    <t>Planejar a participação de eventos/feiras</t>
  </si>
  <si>
    <t>BBDI39</t>
  </si>
  <si>
    <t>Restruturar todos os canais digitais de cada produto</t>
  </si>
  <si>
    <t>BBDI47</t>
  </si>
  <si>
    <t>Ajustar o processo de iniciativas, planejamento, melhorias e entrega de demandas ponderado pelos Drivers Estratégicos</t>
  </si>
  <si>
    <t>Governança Corp</t>
  </si>
  <si>
    <t>Elisangela</t>
  </si>
  <si>
    <t>Frame Work ESG</t>
  </si>
  <si>
    <t>EVID50</t>
  </si>
  <si>
    <t>Gestão a vista: Montar um dash com uma visão dos drivers e projetos para todos acompanharem</t>
  </si>
  <si>
    <t>Mapeamento de processo(Cliente-PDv-Parceiro)</t>
  </si>
  <si>
    <t>EVDI51</t>
  </si>
  <si>
    <t>Obter uma ferramenta de intranet  com repositório das políticas e processo, visão pessoal (areas, funcionários)</t>
  </si>
  <si>
    <t>Programa de excelência operacional + Bonificação</t>
  </si>
  <si>
    <t>BBDI44</t>
  </si>
  <si>
    <t>Criar e implementar trilhas de capacitação dos colaboradores com foco nos produtos</t>
  </si>
  <si>
    <t>Gente &amp; Cultura</t>
  </si>
  <si>
    <t>Jéssica</t>
  </si>
  <si>
    <t>EVID43</t>
  </si>
  <si>
    <t>Criar o dia da prosperidade - Trabalho comunitário (melhora visibilidade) - todo dia 01/10</t>
  </si>
  <si>
    <t>Jessica</t>
  </si>
  <si>
    <t>BBID49</t>
  </si>
  <si>
    <t xml:space="preserve">Criar plano de carreira e desenvolvimento </t>
  </si>
  <si>
    <t>BBID46</t>
  </si>
  <si>
    <t>Implantar politica de one a one de avaliação</t>
  </si>
  <si>
    <t>EVID45</t>
  </si>
  <si>
    <t>Implementar a cultura de Cross areas</t>
  </si>
  <si>
    <t>EVID48</t>
  </si>
  <si>
    <t xml:space="preserve">Revisar a política e os benefícios para colaboradores </t>
  </si>
  <si>
    <t>EVDE40</t>
  </si>
  <si>
    <t>Criar gestão a vista da Estratégia da Prospera para os acionistas e investidores</t>
  </si>
  <si>
    <t>Financeira</t>
  </si>
  <si>
    <t>Roberto</t>
  </si>
  <si>
    <t>BBDI53</t>
  </si>
  <si>
    <t>Desenvolver o relatório de conciliação financeira por usina</t>
  </si>
  <si>
    <t>EVID42</t>
  </si>
  <si>
    <t>Desenvolver um  módulo de DRE por cliente</t>
  </si>
  <si>
    <t>BBDI41</t>
  </si>
  <si>
    <t>Focar no plano de captação financeira para Prospera</t>
  </si>
  <si>
    <t>EVPR54</t>
  </si>
  <si>
    <t>Implementar sistema de cobrança</t>
  </si>
  <si>
    <t>Marcelo</t>
  </si>
  <si>
    <t>EVID59</t>
  </si>
  <si>
    <t>Aumentar a quantidade de RCA´s para trazer mais capilaridade às vendas</t>
  </si>
  <si>
    <t>Comercial</t>
  </si>
  <si>
    <t>Fabio</t>
  </si>
  <si>
    <t>BBID60</t>
  </si>
  <si>
    <t>Aumento da força de venda inside sales</t>
  </si>
  <si>
    <t>Bruno</t>
  </si>
  <si>
    <t>EVDE57</t>
  </si>
  <si>
    <t>Buscar cliente de forma ativa através de CS</t>
  </si>
  <si>
    <t>EVID52</t>
  </si>
  <si>
    <t>Contratar um recurso comercial para fazer gestão das contas de loyalty</t>
  </si>
  <si>
    <t>EVID62</t>
  </si>
  <si>
    <t>Criar departamento de canais - criar canais de venda de anúncios (Soul Up)</t>
  </si>
  <si>
    <t>EVID09</t>
  </si>
  <si>
    <t>Criar parcerias com varejistas / distribuidor / fornecedor</t>
  </si>
  <si>
    <t>BBDI61</t>
  </si>
  <si>
    <t>Criar time de retenção</t>
  </si>
  <si>
    <t>BBDI64</t>
  </si>
  <si>
    <t>Definir a estratégia de atendimento por tipo de produto : ter um fluxo de canal de pontos de contato do cliente (Pontos Ecoa, Soul up e Energia Verde) publicados</t>
  </si>
  <si>
    <t>EVPR56</t>
  </si>
  <si>
    <t xml:space="preserve">Garantir que grandes contratos ajudem na comercialização de energia verda </t>
  </si>
  <si>
    <t>BBDI58</t>
  </si>
  <si>
    <t xml:space="preserve">Melhorar atendimento no pós venda </t>
  </si>
  <si>
    <t>BBDE63</t>
  </si>
  <si>
    <t>Performar os contratos B2B Enterprise</t>
  </si>
  <si>
    <t>#</t>
  </si>
  <si>
    <t>Iniciativas</t>
  </si>
  <si>
    <t>Score</t>
  </si>
  <si>
    <t>Status</t>
  </si>
  <si>
    <t>Quadrante</t>
  </si>
  <si>
    <t>TOTAL POR FAIXA</t>
  </si>
  <si>
    <t>Q1</t>
  </si>
  <si>
    <t>L</t>
  </si>
  <si>
    <t>I</t>
  </si>
  <si>
    <t>Bugdet de marketing anual para ações e campanhas</t>
  </si>
  <si>
    <t>Q3</t>
  </si>
  <si>
    <t>O</t>
  </si>
  <si>
    <t>M</t>
  </si>
  <si>
    <t>Performar os contratos B2B Interpreise</t>
  </si>
  <si>
    <t>Q2</t>
  </si>
  <si>
    <r>
      <t xml:space="preserve">desvio negativo e </t>
    </r>
    <r>
      <rPr>
        <b/>
        <i/>
        <sz val="9"/>
        <color rgb="FFFFFFFF"/>
        <rFont val="Calibri"/>
        <family val="2"/>
        <scheme val="minor"/>
      </rPr>
      <t>9%</t>
    </r>
  </si>
  <si>
    <t>Estratégia</t>
  </si>
  <si>
    <t>CAPEX - Faixa de Valores</t>
  </si>
  <si>
    <t>OPEX - Faixa de Valores</t>
  </si>
  <si>
    <t>P1</t>
  </si>
  <si>
    <t>P2</t>
  </si>
  <si>
    <t>Alta Rantabilidade</t>
  </si>
  <si>
    <t>P3</t>
  </si>
  <si>
    <t>Q4</t>
  </si>
  <si>
    <t>Classificação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</si>
</sst>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7" formatCode="&quot;R$&quot;\ #,##0.00;\-&quot;R$&quot;\ #,##0.00"/>
    <numFmt numFmtId="44" formatCode="_-&quot;R$&quot;\ * #,##0.00_-;\-&quot;R$&quot;\ * #,##0.00_-;_-&quot;R$&quot;\ * &quot;-&quot;??_-;_-@_-"/>
    <numFmt numFmtId="43" formatCode="_-* #,##0.00_-;\-* #,##0.00_-;_-* &quot;-&quot;??_-;_-@_-"/>
    <numFmt numFmtId="164" formatCode="&quot;R$&quot;#,##0.00_);\(&quot;R$&quot;#,##0.00\)"/>
    <numFmt numFmtId="165" formatCode="_(&quot;R$&quot;* #,##0.00_);_(&quot;R$&quot;* \(#,##0.00\);_(&quot;R$&quot;* &quot;-&quot;??_);_(@_)"/>
    <numFmt numFmtId="166" formatCode="_(* #,##0.00_);_(* \(#,##0.00\);_(* &quot;-&quot;??_);_(@_)"/>
    <numFmt numFmtId="167" formatCode="_-&quot;R$&quot;\ * #,##0_-;\-&quot;R$&quot;\ * #,##0_-;_-&quot;R$&quot;\ * &quot;-&quot;??_-;_-@_-"/>
    <numFmt numFmtId="168" formatCode="#,##0_ ;\-#,##0\ "/>
    <numFmt numFmtId="169" formatCode="_-* #,##0_-;\-* #,##0_-;_-* &quot;-&quot;??_-;_-@_-"/>
    <numFmt numFmtId="170" formatCode="0.0%"/>
    <numFmt numFmtId="171" formatCode="dd/mm/yy;@"/>
    <numFmt numFmtId="172" formatCode="_(* #,##0_);_(* \(#,##0\);_(* &quot;-&quot;??_);_(@_)"/>
    <numFmt numFmtId="173" formatCode="_(&quot;R$&quot;* #,##0_);_(&quot;R$&quot;* \(#,##0\);_(&quot;R$&quot;* &quot;-&quot;??_);_(@_)"/>
  </numFmts>
  <fonts count="26" x14ac:knownFonts="1">
    <font>
      <sz val="11"/>
      <color theme="1"/>
      <name val="Calibri"/>
      <family val="2"/>
      <scheme val="minor"/>
    </font>
    <font>
      <b/>
      <sz val="11"/>
      <color theme="0"/>
      <name val="Calibri"/>
      <family val="2"/>
      <scheme val="minor"/>
    </font>
    <font>
      <sz val="11"/>
      <color theme="0"/>
      <name val="Calibri"/>
      <family val="2"/>
      <scheme val="minor"/>
    </font>
    <font>
      <sz val="11"/>
      <color theme="1"/>
      <name val="Calibri"/>
      <family val="2"/>
      <scheme val="minor"/>
    </font>
    <font>
      <sz val="8"/>
      <name val="Calibri"/>
      <family val="2"/>
      <scheme val="minor"/>
    </font>
    <font>
      <sz val="10"/>
      <name val="Arial"/>
      <family val="2"/>
    </font>
    <font>
      <sz val="11"/>
      <color theme="3" tint="-0.249977111117893"/>
      <name val="Calibri"/>
      <family val="2"/>
      <scheme val="minor"/>
    </font>
    <font>
      <sz val="12"/>
      <color theme="1"/>
      <name val="Calibri"/>
      <family val="2"/>
      <scheme val="minor"/>
    </font>
    <font>
      <b/>
      <sz val="12"/>
      <color theme="0"/>
      <name val="Calibri"/>
      <family val="2"/>
      <scheme val="minor"/>
    </font>
    <font>
      <b/>
      <sz val="11"/>
      <color theme="1"/>
      <name val="Calibri"/>
      <family val="2"/>
      <scheme val="minor"/>
    </font>
    <font>
      <b/>
      <sz val="9"/>
      <color theme="0"/>
      <name val="Calibri"/>
      <family val="2"/>
      <scheme val="minor"/>
    </font>
    <font>
      <sz val="12"/>
      <color theme="0"/>
      <name val="Calibri"/>
      <family val="2"/>
      <scheme val="minor"/>
    </font>
    <font>
      <sz val="12"/>
      <color rgb="FFFFC000"/>
      <name val="Wingdings"/>
      <charset val="2"/>
    </font>
    <font>
      <b/>
      <sz val="14"/>
      <color rgb="FFFFC000"/>
      <name val="Wingdings"/>
      <charset val="2"/>
    </font>
    <font>
      <b/>
      <sz val="12"/>
      <color theme="0"/>
      <name val="Wingdings"/>
      <charset val="2"/>
    </font>
    <font>
      <i/>
      <sz val="9"/>
      <color rgb="FFFFFFFF"/>
      <name val="Calibri"/>
      <family val="2"/>
      <scheme val="minor"/>
    </font>
    <font>
      <b/>
      <i/>
      <sz val="9"/>
      <color rgb="FFFFFFFF"/>
      <name val="Calibri"/>
      <family val="2"/>
      <scheme val="minor"/>
    </font>
    <font>
      <b/>
      <sz val="14"/>
      <color rgb="FFFFFF00"/>
      <name val="Wingdings"/>
      <charset val="2"/>
    </font>
    <font>
      <sz val="20"/>
      <color theme="1"/>
      <name val="Calibri"/>
      <family val="2"/>
      <scheme val="minor"/>
    </font>
    <font>
      <sz val="22"/>
      <color theme="1"/>
      <name val="Calibri"/>
      <family val="2"/>
      <scheme val="minor"/>
    </font>
    <font>
      <i/>
      <sz val="16"/>
      <color theme="1"/>
      <name val="Calibri"/>
      <family val="2"/>
      <scheme val="minor"/>
    </font>
    <font>
      <sz val="12"/>
      <color rgb="FF000000"/>
      <name val="Calibri"/>
      <family val="2"/>
      <scheme val="minor"/>
    </font>
    <font>
      <b/>
      <sz val="12"/>
      <color rgb="FF000000"/>
      <name val="Calibri"/>
      <family val="2"/>
      <scheme val="minor"/>
    </font>
    <font>
      <b/>
      <sz val="11"/>
      <color rgb="FF000000"/>
      <name val="Calibri"/>
      <family val="2"/>
      <scheme val="minor"/>
    </font>
    <font>
      <sz val="11"/>
      <color rgb="FF000000"/>
      <name val="Calibri"/>
      <family val="2"/>
      <scheme val="minor"/>
    </font>
    <font>
      <b/>
      <sz val="11"/>
      <color rgb="FF000000"/>
      <name val="Calibri"/>
      <family val="2"/>
      <scheme val="minor"/>
    </font>
  </fonts>
  <fills count="21">
    <fill>
      <patternFill patternType="none"/>
    </fill>
    <fill>
      <patternFill patternType="gray125"/>
    </fill>
    <fill>
      <patternFill patternType="solid">
        <fgColor theme="3" tint="-0.499984740745262"/>
        <bgColor indexed="64"/>
      </patternFill>
    </fill>
    <fill>
      <patternFill patternType="solid">
        <fgColor theme="9" tint="-0.499984740745262"/>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4" tint="-0.249977111117893"/>
        <bgColor indexed="64"/>
      </patternFill>
    </fill>
    <fill>
      <patternFill patternType="solid">
        <fgColor theme="3"/>
        <bgColor indexed="64"/>
      </patternFill>
    </fill>
    <fill>
      <patternFill patternType="solid">
        <fgColor theme="6" tint="-0.49998474074526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6" tint="0.79998168889431442"/>
        <bgColor theme="4" tint="0.79998168889431442"/>
      </patternFill>
    </fill>
    <fill>
      <patternFill patternType="solid">
        <fgColor theme="5" tint="0.79998168889431442"/>
        <bgColor theme="4" tint="0.79998168889431442"/>
      </patternFill>
    </fill>
    <fill>
      <patternFill patternType="solid">
        <fgColor theme="7" tint="-0.499984740745262"/>
        <bgColor indexed="64"/>
      </patternFill>
    </fill>
    <fill>
      <patternFill patternType="solid">
        <fgColor theme="0" tint="-4.9989318521683403E-2"/>
        <bgColor indexed="64"/>
      </patternFill>
    </fill>
    <fill>
      <patternFill patternType="solid">
        <fgColor theme="0" tint="-4.9989318521683403E-2"/>
        <bgColor theme="4" tint="0.79998168889431442"/>
      </patternFill>
    </fill>
    <fill>
      <patternFill patternType="solid">
        <fgColor theme="0" tint="-4.9989318521683403E-2"/>
        <bgColor theme="4" tint="0.59999389629810485"/>
      </patternFill>
    </fill>
    <fill>
      <patternFill patternType="solid">
        <fgColor theme="5" tint="0.79998168889431442"/>
        <bgColor theme="4" tint="0.59999389629810485"/>
      </patternFill>
    </fill>
    <fill>
      <patternFill patternType="solid">
        <fgColor theme="6" tint="0.79998168889431442"/>
        <bgColor theme="4" tint="0.59999389629810485"/>
      </patternFill>
    </fill>
    <fill>
      <patternFill patternType="solid">
        <fgColor theme="1"/>
        <bgColor indexed="64"/>
      </patternFill>
    </fill>
    <fill>
      <patternFill patternType="solid">
        <fgColor rgb="FFFFFF00"/>
        <bgColor indexed="64"/>
      </patternFill>
    </fill>
  </fills>
  <borders count="38">
    <border>
      <left/>
      <right/>
      <top/>
      <bottom/>
      <diagonal/>
    </border>
    <border>
      <left style="medium">
        <color indexed="64"/>
      </left>
      <right/>
      <top/>
      <bottom style="medium">
        <color indexed="64"/>
      </bottom>
      <diagonal/>
    </border>
    <border>
      <left style="thin">
        <color indexed="64"/>
      </left>
      <right style="thin">
        <color indexed="64"/>
      </right>
      <top/>
      <bottom/>
      <diagonal/>
    </border>
    <border>
      <left/>
      <right/>
      <top/>
      <bottom style="medium">
        <color indexed="64"/>
      </bottom>
      <diagonal/>
    </border>
    <border>
      <left style="thick">
        <color auto="1"/>
      </left>
      <right/>
      <top/>
      <bottom/>
      <diagonal/>
    </border>
    <border>
      <left/>
      <right/>
      <top/>
      <bottom style="thick">
        <color auto="1"/>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diagonal/>
    </border>
    <border>
      <left style="medium">
        <color indexed="64"/>
      </left>
      <right style="thin">
        <color indexed="64"/>
      </right>
      <top/>
      <bottom/>
      <diagonal/>
    </border>
    <border>
      <left/>
      <right style="medium">
        <color indexed="64"/>
      </right>
      <top style="medium">
        <color indexed="64"/>
      </top>
      <bottom/>
      <diagonal/>
    </border>
    <border>
      <left/>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right/>
      <top style="thin">
        <color indexed="64"/>
      </top>
      <bottom style="thin">
        <color indexed="64"/>
      </bottom>
      <diagonal/>
    </border>
    <border>
      <left style="thin">
        <color theme="0"/>
      </left>
      <right style="thin">
        <color theme="0"/>
      </right>
      <top style="medium">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bottom/>
      <diagonal/>
    </border>
  </borders>
  <cellStyleXfs count="13">
    <xf numFmtId="0" fontId="0" fillId="0" borderId="0"/>
    <xf numFmtId="165" fontId="3" fillId="0" borderId="0" applyFont="0" applyFill="0" applyBorder="0" applyAlignment="0" applyProtection="0"/>
    <xf numFmtId="0" fontId="5" fillId="0" borderId="0"/>
    <xf numFmtId="0" fontId="3" fillId="0" borderId="0"/>
    <xf numFmtId="0" fontId="3" fillId="0" borderId="0"/>
    <xf numFmtId="166" fontId="3" fillId="0" borderId="0" applyFont="0" applyFill="0" applyBorder="0" applyAlignment="0" applyProtection="0"/>
    <xf numFmtId="9" fontId="3" fillId="0" borderId="0" applyFont="0" applyFill="0" applyBorder="0" applyAlignment="0" applyProtection="0"/>
    <xf numFmtId="165" fontId="3" fillId="0" borderId="0" applyFont="0" applyFill="0" applyBorder="0" applyAlignment="0" applyProtection="0"/>
    <xf numFmtId="166"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xf numFmtId="44" fontId="3" fillId="0" borderId="0" applyFont="0" applyFill="0" applyBorder="0" applyAlignment="0" applyProtection="0"/>
    <xf numFmtId="43" fontId="3" fillId="0" borderId="0" applyFont="0" applyFill="0" applyBorder="0" applyAlignment="0" applyProtection="0"/>
  </cellStyleXfs>
  <cellXfs count="225">
    <xf numFmtId="0" fontId="0" fillId="0" borderId="0" xfId="0"/>
    <xf numFmtId="167" fontId="2" fillId="0" borderId="0" xfId="1" applyNumberFormat="1" applyFont="1"/>
    <xf numFmtId="0" fontId="2" fillId="0" borderId="0" xfId="0" applyFont="1"/>
    <xf numFmtId="169" fontId="2" fillId="0" borderId="0" xfId="5" applyNumberFormat="1" applyFont="1"/>
    <xf numFmtId="9" fontId="0" fillId="0" borderId="0" xfId="6" applyFont="1"/>
    <xf numFmtId="0" fontId="0" fillId="0" borderId="0" xfId="0" applyAlignment="1">
      <alignment horizontal="center"/>
    </xf>
    <xf numFmtId="0" fontId="0" fillId="0" borderId="0" xfId="0" applyAlignment="1">
      <alignment horizontal="right"/>
    </xf>
    <xf numFmtId="170" fontId="0" fillId="0" borderId="0" xfId="6" applyNumberFormat="1" applyFont="1"/>
    <xf numFmtId="0" fontId="1" fillId="2" borderId="13" xfId="0" applyFont="1" applyFill="1" applyBorder="1" applyAlignment="1">
      <alignment vertical="top"/>
    </xf>
    <xf numFmtId="49" fontId="10" fillId="8" borderId="2" xfId="0" applyNumberFormat="1" applyFont="1" applyFill="1" applyBorder="1" applyAlignment="1">
      <alignment horizontal="center" vertical="center" wrapText="1"/>
    </xf>
    <xf numFmtId="49" fontId="10" fillId="2" borderId="2" xfId="0" applyNumberFormat="1" applyFont="1" applyFill="1" applyBorder="1" applyAlignment="1">
      <alignment horizontal="center" vertical="top" wrapText="1"/>
    </xf>
    <xf numFmtId="169" fontId="2" fillId="0" borderId="0" xfId="5" applyNumberFormat="1" applyFont="1" applyProtection="1"/>
    <xf numFmtId="49" fontId="2" fillId="0" borderId="0" xfId="0" applyNumberFormat="1" applyFont="1"/>
    <xf numFmtId="168" fontId="6" fillId="0" borderId="2" xfId="0" applyNumberFormat="1" applyFont="1" applyBorder="1" applyAlignment="1">
      <alignment horizontal="center"/>
    </xf>
    <xf numFmtId="0" fontId="1" fillId="8" borderId="9" xfId="0" applyFont="1" applyFill="1" applyBorder="1"/>
    <xf numFmtId="49" fontId="10" fillId="2" borderId="11" xfId="0" applyNumberFormat="1" applyFont="1" applyFill="1" applyBorder="1" applyAlignment="1">
      <alignment horizontal="center" vertical="top" wrapText="1"/>
    </xf>
    <xf numFmtId="170" fontId="2" fillId="0" borderId="0" xfId="6" applyNumberFormat="1" applyFont="1"/>
    <xf numFmtId="168" fontId="7" fillId="5" borderId="0" xfId="0" applyNumberFormat="1" applyFont="1" applyFill="1" applyAlignment="1" applyProtection="1">
      <alignment horizontal="center" vertical="center"/>
      <protection locked="0"/>
    </xf>
    <xf numFmtId="168" fontId="7" fillId="4" borderId="6" xfId="0" applyNumberFormat="1" applyFont="1" applyFill="1" applyBorder="1" applyAlignment="1">
      <alignment horizontal="center" vertical="center"/>
    </xf>
    <xf numFmtId="168" fontId="7" fillId="9" borderId="4" xfId="0" applyNumberFormat="1" applyFont="1" applyFill="1" applyBorder="1" applyAlignment="1" applyProtection="1">
      <alignment horizontal="center" vertical="center"/>
      <protection locked="0"/>
    </xf>
    <xf numFmtId="168" fontId="7" fillId="9" borderId="0" xfId="0" applyNumberFormat="1" applyFont="1" applyFill="1" applyAlignment="1" applyProtection="1">
      <alignment horizontal="center" vertical="center"/>
      <protection locked="0"/>
    </xf>
    <xf numFmtId="0" fontId="11" fillId="8" borderId="0" xfId="0" applyFont="1" applyFill="1" applyAlignment="1">
      <alignment horizontal="center" vertical="center"/>
    </xf>
    <xf numFmtId="0" fontId="0" fillId="0" borderId="0" xfId="0" applyAlignment="1">
      <alignment vertical="center"/>
    </xf>
    <xf numFmtId="0" fontId="0" fillId="9" borderId="14" xfId="0" applyFill="1" applyBorder="1" applyAlignment="1">
      <alignment vertical="center"/>
    </xf>
    <xf numFmtId="0" fontId="12" fillId="11" borderId="14" xfId="0" applyFont="1" applyFill="1" applyBorder="1" applyAlignment="1">
      <alignment horizontal="center" vertical="center"/>
    </xf>
    <xf numFmtId="0" fontId="0" fillId="10" borderId="14" xfId="0" applyFill="1" applyBorder="1" applyAlignment="1">
      <alignment vertical="center"/>
    </xf>
    <xf numFmtId="0" fontId="12" fillId="12" borderId="14" xfId="0" applyFont="1" applyFill="1" applyBorder="1" applyAlignment="1">
      <alignment horizontal="center" vertical="center"/>
    </xf>
    <xf numFmtId="168" fontId="7" fillId="0" borderId="0" xfId="0" applyNumberFormat="1" applyFont="1" applyAlignment="1">
      <alignment horizontal="center"/>
    </xf>
    <xf numFmtId="14" fontId="0" fillId="0" borderId="0" xfId="0" applyNumberFormat="1"/>
    <xf numFmtId="172" fontId="0" fillId="0" borderId="0" xfId="5" applyNumberFormat="1" applyFont="1"/>
    <xf numFmtId="0" fontId="15" fillId="0" borderId="0" xfId="0" applyFont="1" applyAlignment="1">
      <alignment horizontal="left" vertical="center"/>
    </xf>
    <xf numFmtId="9" fontId="0" fillId="0" borderId="10" xfId="6" applyFont="1" applyBorder="1"/>
    <xf numFmtId="168" fontId="6" fillId="0" borderId="10" xfId="0" applyNumberFormat="1" applyFont="1" applyBorder="1" applyAlignment="1">
      <alignment horizontal="center"/>
    </xf>
    <xf numFmtId="0" fontId="1" fillId="2" borderId="23" xfId="0" applyFont="1" applyFill="1" applyBorder="1" applyAlignment="1">
      <alignment vertical="top"/>
    </xf>
    <xf numFmtId="167" fontId="1" fillId="2" borderId="12" xfId="1" applyNumberFormat="1" applyFont="1" applyFill="1" applyBorder="1" applyAlignment="1" applyProtection="1">
      <alignment horizontal="left" textRotation="90" wrapText="1"/>
    </xf>
    <xf numFmtId="168" fontId="7" fillId="0" borderId="0" xfId="0" applyNumberFormat="1" applyFont="1" applyAlignment="1" applyProtection="1">
      <alignment horizontal="center" vertical="center"/>
      <protection locked="0"/>
    </xf>
    <xf numFmtId="0" fontId="0" fillId="10" borderId="14" xfId="0" quotePrefix="1" applyFill="1" applyBorder="1" applyAlignment="1">
      <alignment vertical="center"/>
    </xf>
    <xf numFmtId="0" fontId="0" fillId="0" borderId="0" xfId="0" applyAlignment="1">
      <alignment horizontal="left"/>
    </xf>
    <xf numFmtId="49" fontId="10" fillId="2" borderId="2" xfId="0" applyNumberFormat="1" applyFont="1" applyFill="1" applyBorder="1" applyAlignment="1">
      <alignment horizontal="left" vertical="center" wrapText="1"/>
    </xf>
    <xf numFmtId="168" fontId="7" fillId="0" borderId="0" xfId="0" applyNumberFormat="1" applyFont="1" applyAlignment="1" applyProtection="1">
      <alignment horizontal="left"/>
      <protection locked="0"/>
    </xf>
    <xf numFmtId="169" fontId="7" fillId="0" borderId="0" xfId="5" applyNumberFormat="1" applyFont="1" applyBorder="1" applyAlignment="1" applyProtection="1">
      <alignment horizontal="center"/>
    </xf>
    <xf numFmtId="169" fontId="7" fillId="0" borderId="10" xfId="5" applyNumberFormat="1" applyFont="1" applyBorder="1" applyAlignment="1" applyProtection="1">
      <alignment horizontal="center"/>
    </xf>
    <xf numFmtId="171" fontId="0" fillId="0" borderId="0" xfId="0" applyNumberFormat="1"/>
    <xf numFmtId="167" fontId="7" fillId="0" borderId="10" xfId="1" applyNumberFormat="1" applyFont="1" applyFill="1" applyBorder="1" applyAlignment="1" applyProtection="1">
      <alignment horizontal="center" vertical="center"/>
      <protection locked="0"/>
    </xf>
    <xf numFmtId="173" fontId="0" fillId="0" borderId="0" xfId="1" applyNumberFormat="1" applyFont="1"/>
    <xf numFmtId="9" fontId="0" fillId="0" borderId="21" xfId="6" applyFont="1" applyBorder="1"/>
    <xf numFmtId="0" fontId="1" fillId="13" borderId="0" xfId="0" applyFont="1" applyFill="1"/>
    <xf numFmtId="49" fontId="0" fillId="0" borderId="22" xfId="0" applyNumberFormat="1" applyBorder="1"/>
    <xf numFmtId="49" fontId="0" fillId="0" borderId="24" xfId="0" applyNumberFormat="1" applyBorder="1"/>
    <xf numFmtId="0" fontId="0" fillId="0" borderId="20" xfId="0" applyBorder="1"/>
    <xf numFmtId="0" fontId="0" fillId="14" borderId="14" xfId="0" applyFill="1" applyBorder="1" applyAlignment="1">
      <alignment vertical="center"/>
    </xf>
    <xf numFmtId="0" fontId="12" fillId="15" borderId="14" xfId="0" applyFont="1" applyFill="1" applyBorder="1" applyAlignment="1">
      <alignment horizontal="center" vertical="center"/>
    </xf>
    <xf numFmtId="169" fontId="7" fillId="18" borderId="14" xfId="5" applyNumberFormat="1" applyFont="1" applyFill="1" applyBorder="1" applyAlignment="1">
      <alignment horizontal="center" vertical="center"/>
    </xf>
    <xf numFmtId="164" fontId="14" fillId="9" borderId="14" xfId="0" applyNumberFormat="1" applyFont="1" applyFill="1" applyBorder="1" applyAlignment="1">
      <alignment horizontal="center" vertical="center"/>
    </xf>
    <xf numFmtId="169" fontId="7" fillId="17" borderId="14" xfId="5" applyNumberFormat="1" applyFont="1" applyFill="1" applyBorder="1" applyAlignment="1">
      <alignment horizontal="center" vertical="center"/>
    </xf>
    <xf numFmtId="164" fontId="14" fillId="10" borderId="14" xfId="0" applyNumberFormat="1" applyFont="1" applyFill="1" applyBorder="1" applyAlignment="1">
      <alignment horizontal="center" vertical="center"/>
    </xf>
    <xf numFmtId="169" fontId="7" fillId="16" borderId="14" xfId="5" applyNumberFormat="1" applyFont="1" applyFill="1" applyBorder="1" applyAlignment="1">
      <alignment horizontal="center" vertical="center"/>
    </xf>
    <xf numFmtId="164" fontId="14" fillId="14" borderId="14" xfId="0" applyNumberFormat="1" applyFont="1" applyFill="1" applyBorder="1" applyAlignment="1">
      <alignment horizontal="center" vertical="center"/>
    </xf>
    <xf numFmtId="0" fontId="1" fillId="2" borderId="28" xfId="0" applyFont="1" applyFill="1" applyBorder="1" applyAlignment="1">
      <alignment horizontal="center"/>
    </xf>
    <xf numFmtId="0" fontId="1" fillId="2" borderId="29" xfId="0" applyFont="1" applyFill="1" applyBorder="1"/>
    <xf numFmtId="0" fontId="2" fillId="2" borderId="29" xfId="0" applyFont="1" applyFill="1" applyBorder="1"/>
    <xf numFmtId="49" fontId="13" fillId="2" borderId="26" xfId="0" applyNumberFormat="1" applyFont="1" applyFill="1" applyBorder="1" applyAlignment="1">
      <alignment horizontal="left" vertical="center" wrapText="1"/>
    </xf>
    <xf numFmtId="0" fontId="2" fillId="2" borderId="29" xfId="0" applyFont="1" applyFill="1" applyBorder="1" applyAlignment="1">
      <alignment horizontal="left"/>
    </xf>
    <xf numFmtId="164" fontId="2" fillId="2" borderId="29" xfId="0" applyNumberFormat="1" applyFont="1" applyFill="1" applyBorder="1" applyAlignment="1">
      <alignment horizontal="left"/>
    </xf>
    <xf numFmtId="0" fontId="0" fillId="9" borderId="31" xfId="0" applyFill="1" applyBorder="1" applyAlignment="1">
      <alignment vertical="center"/>
    </xf>
    <xf numFmtId="0" fontId="0" fillId="9" borderId="32" xfId="0" applyFill="1" applyBorder="1" applyAlignment="1">
      <alignment vertical="center"/>
    </xf>
    <xf numFmtId="0" fontId="0" fillId="9" borderId="33" xfId="0" applyFill="1" applyBorder="1" applyAlignment="1">
      <alignment vertical="center"/>
    </xf>
    <xf numFmtId="0" fontId="12" fillId="11" borderId="33" xfId="0" applyFont="1" applyFill="1" applyBorder="1" applyAlignment="1">
      <alignment horizontal="center" vertical="center"/>
    </xf>
    <xf numFmtId="169" fontId="7" fillId="18" borderId="33" xfId="5" applyNumberFormat="1" applyFont="1" applyFill="1" applyBorder="1" applyAlignment="1">
      <alignment horizontal="center" vertical="center"/>
    </xf>
    <xf numFmtId="164" fontId="14" fillId="9" borderId="33" xfId="0" applyNumberFormat="1" applyFont="1" applyFill="1" applyBorder="1" applyAlignment="1">
      <alignment horizontal="center" vertical="center"/>
    </xf>
    <xf numFmtId="0" fontId="0" fillId="10" borderId="29" xfId="0" applyFill="1" applyBorder="1" applyAlignment="1">
      <alignment vertical="center"/>
    </xf>
    <xf numFmtId="0" fontId="12" fillId="12" borderId="29" xfId="0" applyFont="1" applyFill="1" applyBorder="1" applyAlignment="1">
      <alignment horizontal="center" vertical="center"/>
    </xf>
    <xf numFmtId="169" fontId="7" fillId="17" borderId="29" xfId="5" applyNumberFormat="1" applyFont="1" applyFill="1" applyBorder="1" applyAlignment="1">
      <alignment horizontal="center" vertical="center"/>
    </xf>
    <xf numFmtId="164" fontId="14" fillId="10" borderId="29" xfId="0" applyNumberFormat="1" applyFont="1" applyFill="1" applyBorder="1" applyAlignment="1">
      <alignment horizontal="center" vertical="center"/>
    </xf>
    <xf numFmtId="0" fontId="0" fillId="10" borderId="33" xfId="0" applyFill="1" applyBorder="1" applyAlignment="1">
      <alignment vertical="center"/>
    </xf>
    <xf numFmtId="0" fontId="12" fillId="12" borderId="33" xfId="0" applyFont="1" applyFill="1" applyBorder="1" applyAlignment="1">
      <alignment horizontal="center" vertical="center"/>
    </xf>
    <xf numFmtId="169" fontId="7" fillId="17" borderId="33" xfId="5" applyNumberFormat="1" applyFont="1" applyFill="1" applyBorder="1" applyAlignment="1">
      <alignment horizontal="center" vertical="center"/>
    </xf>
    <xf numFmtId="164" fontId="14" fillId="10" borderId="33" xfId="0" applyNumberFormat="1" applyFont="1" applyFill="1" applyBorder="1" applyAlignment="1">
      <alignment horizontal="center" vertical="center"/>
    </xf>
    <xf numFmtId="0" fontId="0" fillId="14" borderId="28" xfId="0" applyFill="1" applyBorder="1" applyAlignment="1">
      <alignment vertical="center"/>
    </xf>
    <xf numFmtId="0" fontId="0" fillId="14" borderId="29" xfId="0" applyFill="1" applyBorder="1" applyAlignment="1">
      <alignment vertical="center"/>
    </xf>
    <xf numFmtId="0" fontId="12" fillId="15" borderId="29" xfId="0" applyFont="1" applyFill="1" applyBorder="1" applyAlignment="1">
      <alignment horizontal="center" vertical="center"/>
    </xf>
    <xf numFmtId="169" fontId="7" fillId="16" borderId="29" xfId="5" applyNumberFormat="1" applyFont="1" applyFill="1" applyBorder="1" applyAlignment="1">
      <alignment horizontal="center" vertical="center"/>
    </xf>
    <xf numFmtId="164" fontId="14" fillId="14" borderId="29" xfId="0" applyNumberFormat="1" applyFont="1" applyFill="1" applyBorder="1" applyAlignment="1">
      <alignment horizontal="center" vertical="center"/>
    </xf>
    <xf numFmtId="0" fontId="0" fillId="14" borderId="31" xfId="0" applyFill="1" applyBorder="1" applyAlignment="1">
      <alignment vertical="center"/>
    </xf>
    <xf numFmtId="0" fontId="0" fillId="14" borderId="32" xfId="0" applyFill="1" applyBorder="1" applyAlignment="1">
      <alignment vertical="center"/>
    </xf>
    <xf numFmtId="0" fontId="0" fillId="14" borderId="33" xfId="0" applyFill="1" applyBorder="1" applyAlignment="1">
      <alignment vertical="center"/>
    </xf>
    <xf numFmtId="0" fontId="12" fillId="15" borderId="33" xfId="0" applyFont="1" applyFill="1" applyBorder="1" applyAlignment="1">
      <alignment horizontal="center" vertical="center"/>
    </xf>
    <xf numFmtId="169" fontId="7" fillId="16" borderId="33" xfId="5" applyNumberFormat="1" applyFont="1" applyFill="1" applyBorder="1" applyAlignment="1">
      <alignment horizontal="center" vertical="center"/>
    </xf>
    <xf numFmtId="164" fontId="14" fillId="14" borderId="33" xfId="0" applyNumberFormat="1" applyFont="1" applyFill="1" applyBorder="1" applyAlignment="1">
      <alignment horizontal="center" vertical="center"/>
    </xf>
    <xf numFmtId="164" fontId="1" fillId="2" borderId="23" xfId="0" applyNumberFormat="1" applyFont="1" applyFill="1" applyBorder="1" applyAlignment="1">
      <alignment horizontal="center"/>
    </xf>
    <xf numFmtId="164" fontId="1" fillId="2" borderId="13" xfId="0" applyNumberFormat="1" applyFont="1" applyFill="1" applyBorder="1" applyAlignment="1">
      <alignment horizontal="center"/>
    </xf>
    <xf numFmtId="164" fontId="1" fillId="2" borderId="30" xfId="0" applyNumberFormat="1" applyFont="1" applyFill="1" applyBorder="1"/>
    <xf numFmtId="173" fontId="19" fillId="9" borderId="35" xfId="0" applyNumberFormat="1" applyFont="1" applyFill="1" applyBorder="1" applyAlignment="1">
      <alignment vertical="center"/>
    </xf>
    <xf numFmtId="170" fontId="20" fillId="9" borderId="34" xfId="6" applyNumberFormat="1" applyFont="1" applyFill="1" applyBorder="1" applyAlignment="1">
      <alignment horizontal="right" vertical="center"/>
    </xf>
    <xf numFmtId="9" fontId="0" fillId="0" borderId="2" xfId="6" applyFont="1" applyBorder="1"/>
    <xf numFmtId="165" fontId="9" fillId="9" borderId="34" xfId="1" applyFont="1" applyFill="1" applyBorder="1" applyAlignment="1">
      <alignment vertical="center"/>
    </xf>
    <xf numFmtId="165" fontId="9" fillId="10" borderId="34" xfId="1" applyFont="1" applyFill="1" applyBorder="1" applyAlignment="1">
      <alignment vertical="center"/>
    </xf>
    <xf numFmtId="170" fontId="20" fillId="10" borderId="34" xfId="6" applyNumberFormat="1" applyFont="1" applyFill="1" applyBorder="1" applyAlignment="1">
      <alignment horizontal="right" vertical="center"/>
    </xf>
    <xf numFmtId="173" fontId="19" fillId="10" borderId="35" xfId="0" applyNumberFormat="1" applyFont="1" applyFill="1" applyBorder="1" applyAlignment="1">
      <alignment vertical="center"/>
    </xf>
    <xf numFmtId="165" fontId="9" fillId="14" borderId="34" xfId="1" applyFont="1" applyFill="1" applyBorder="1" applyAlignment="1">
      <alignment vertical="center"/>
    </xf>
    <xf numFmtId="170" fontId="20" fillId="14" borderId="34" xfId="6" applyNumberFormat="1" applyFont="1" applyFill="1" applyBorder="1" applyAlignment="1">
      <alignment horizontal="right" vertical="center"/>
    </xf>
    <xf numFmtId="173" fontId="19" fillId="14" borderId="35" xfId="0" applyNumberFormat="1" applyFont="1" applyFill="1" applyBorder="1" applyAlignment="1">
      <alignment vertical="center"/>
    </xf>
    <xf numFmtId="169" fontId="7" fillId="18" borderId="14" xfId="5" applyNumberFormat="1" applyFont="1" applyFill="1" applyBorder="1" applyAlignment="1">
      <alignment horizontal="left" vertical="center"/>
    </xf>
    <xf numFmtId="169" fontId="7" fillId="18" borderId="33" xfId="5" applyNumberFormat="1" applyFont="1" applyFill="1" applyBorder="1" applyAlignment="1">
      <alignment horizontal="left" vertical="center"/>
    </xf>
    <xf numFmtId="169" fontId="7" fillId="17" borderId="29" xfId="5" applyNumberFormat="1" applyFont="1" applyFill="1" applyBorder="1" applyAlignment="1">
      <alignment horizontal="left" vertical="center"/>
    </xf>
    <xf numFmtId="169" fontId="7" fillId="17" borderId="14" xfId="5" applyNumberFormat="1" applyFont="1" applyFill="1" applyBorder="1" applyAlignment="1">
      <alignment horizontal="left" vertical="center"/>
    </xf>
    <xf numFmtId="169" fontId="7" fillId="17" borderId="33" xfId="5" applyNumberFormat="1" applyFont="1" applyFill="1" applyBorder="1" applyAlignment="1">
      <alignment horizontal="left" vertical="center"/>
    </xf>
    <xf numFmtId="169" fontId="7" fillId="16" borderId="29" xfId="5" applyNumberFormat="1" applyFont="1" applyFill="1" applyBorder="1" applyAlignment="1">
      <alignment horizontal="left" vertical="center"/>
    </xf>
    <xf numFmtId="169" fontId="7" fillId="16" borderId="14" xfId="5" applyNumberFormat="1" applyFont="1" applyFill="1" applyBorder="1" applyAlignment="1">
      <alignment horizontal="left" vertical="center"/>
    </xf>
    <xf numFmtId="169" fontId="7" fillId="16" borderId="33" xfId="5" applyNumberFormat="1" applyFont="1" applyFill="1" applyBorder="1" applyAlignment="1">
      <alignment horizontal="left" vertical="center"/>
    </xf>
    <xf numFmtId="173" fontId="0" fillId="9" borderId="14" xfId="1" applyNumberFormat="1" applyFont="1" applyFill="1" applyBorder="1" applyAlignment="1">
      <alignment vertical="center"/>
    </xf>
    <xf numFmtId="173" fontId="0" fillId="9" borderId="33" xfId="1" applyNumberFormat="1" applyFont="1" applyFill="1" applyBorder="1" applyAlignment="1">
      <alignment vertical="center"/>
    </xf>
    <xf numFmtId="173" fontId="0" fillId="10" borderId="29" xfId="1" applyNumberFormat="1" applyFont="1" applyFill="1" applyBorder="1" applyAlignment="1">
      <alignment vertical="center"/>
    </xf>
    <xf numFmtId="173" fontId="0" fillId="10" borderId="14" xfId="1" applyNumberFormat="1" applyFont="1" applyFill="1" applyBorder="1" applyAlignment="1">
      <alignment vertical="center"/>
    </xf>
    <xf numFmtId="173" fontId="0" fillId="10" borderId="33" xfId="1" applyNumberFormat="1" applyFont="1" applyFill="1" applyBorder="1" applyAlignment="1">
      <alignment vertical="center"/>
    </xf>
    <xf numFmtId="173" fontId="0" fillId="14" borderId="29" xfId="1" applyNumberFormat="1" applyFont="1" applyFill="1" applyBorder="1" applyAlignment="1">
      <alignment vertical="center"/>
    </xf>
    <xf numFmtId="173" fontId="0" fillId="14" borderId="14" xfId="1" applyNumberFormat="1" applyFont="1" applyFill="1" applyBorder="1" applyAlignment="1">
      <alignment vertical="center"/>
    </xf>
    <xf numFmtId="173" fontId="0" fillId="14" borderId="33" xfId="1" applyNumberFormat="1" applyFont="1" applyFill="1" applyBorder="1" applyAlignment="1">
      <alignment vertical="center"/>
    </xf>
    <xf numFmtId="173" fontId="1" fillId="19" borderId="27" xfId="0" applyNumberFormat="1" applyFont="1" applyFill="1" applyBorder="1"/>
    <xf numFmtId="0" fontId="1" fillId="19" borderId="0" xfId="0" applyFont="1" applyFill="1"/>
    <xf numFmtId="167" fontId="7" fillId="0" borderId="10" xfId="11" applyNumberFormat="1" applyFont="1" applyFill="1" applyBorder="1" applyAlignment="1" applyProtection="1">
      <alignment horizontal="center" vertical="center"/>
      <protection locked="0"/>
    </xf>
    <xf numFmtId="167" fontId="0" fillId="0" borderId="0" xfId="0" applyNumberFormat="1"/>
    <xf numFmtId="167" fontId="0" fillId="0" borderId="5" xfId="0" applyNumberFormat="1" applyBorder="1"/>
    <xf numFmtId="0" fontId="0" fillId="0" borderId="5" xfId="0" applyBorder="1" applyAlignment="1">
      <alignment horizontal="right"/>
    </xf>
    <xf numFmtId="0" fontId="0" fillId="0" borderId="3" xfId="0" applyBorder="1"/>
    <xf numFmtId="0" fontId="0" fillId="0" borderId="1" xfId="0" applyBorder="1"/>
    <xf numFmtId="0" fontId="0" fillId="0" borderId="20" xfId="0" applyBorder="1" applyAlignment="1">
      <alignment horizontal="right"/>
    </xf>
    <xf numFmtId="0" fontId="0" fillId="0" borderId="21" xfId="0" applyBorder="1" applyAlignment="1">
      <alignment horizontal="right"/>
    </xf>
    <xf numFmtId="169" fontId="7" fillId="0" borderId="0" xfId="5" applyNumberFormat="1" applyFont="1" applyFill="1" applyBorder="1" applyAlignment="1" applyProtection="1">
      <alignment horizontal="center"/>
    </xf>
    <xf numFmtId="169" fontId="7" fillId="0" borderId="10" xfId="5" applyNumberFormat="1" applyFont="1" applyFill="1" applyBorder="1" applyAlignment="1" applyProtection="1">
      <alignment horizontal="center"/>
    </xf>
    <xf numFmtId="168" fontId="7" fillId="0" borderId="6" xfId="0" applyNumberFormat="1" applyFont="1" applyBorder="1" applyAlignment="1">
      <alignment horizontal="center" vertical="center"/>
    </xf>
    <xf numFmtId="168" fontId="7" fillId="0" borderId="4" xfId="0" applyNumberFormat="1" applyFont="1" applyBorder="1" applyAlignment="1" applyProtection="1">
      <alignment horizontal="center" vertical="center"/>
      <protection locked="0"/>
    </xf>
    <xf numFmtId="0" fontId="0" fillId="10" borderId="28" xfId="0" applyFill="1" applyBorder="1" applyAlignment="1">
      <alignment vertical="center"/>
    </xf>
    <xf numFmtId="0" fontId="0" fillId="10" borderId="31" xfId="0" applyFill="1" applyBorder="1" applyAlignment="1">
      <alignment vertical="center"/>
    </xf>
    <xf numFmtId="0" fontId="0" fillId="10" borderId="32" xfId="0" applyFill="1" applyBorder="1" applyAlignment="1">
      <alignment vertical="center"/>
    </xf>
    <xf numFmtId="0" fontId="1" fillId="2" borderId="19" xfId="0" applyFont="1" applyFill="1" applyBorder="1" applyAlignment="1">
      <alignment horizontal="center" vertical="top"/>
    </xf>
    <xf numFmtId="167" fontId="1" fillId="3" borderId="19" xfId="1" applyNumberFormat="1" applyFont="1" applyFill="1" applyBorder="1" applyAlignment="1" applyProtection="1">
      <alignment horizontal="left" vertical="top" wrapText="1"/>
    </xf>
    <xf numFmtId="0" fontId="1" fillId="2" borderId="19" xfId="0" applyFont="1" applyFill="1" applyBorder="1" applyAlignment="1">
      <alignment horizontal="center" vertical="top" wrapText="1"/>
    </xf>
    <xf numFmtId="0" fontId="1" fillId="2" borderId="18" xfId="0" applyFont="1" applyFill="1" applyBorder="1" applyAlignment="1">
      <alignment horizontal="center" vertical="top" wrapText="1"/>
    </xf>
    <xf numFmtId="0" fontId="7" fillId="0" borderId="22" xfId="0" applyFont="1" applyBorder="1" applyAlignment="1">
      <alignment horizontal="left" vertical="center"/>
    </xf>
    <xf numFmtId="49" fontId="17" fillId="0" borderId="0" xfId="0" applyNumberFormat="1" applyFont="1" applyAlignment="1">
      <alignment horizontal="left" vertical="center" wrapText="1"/>
    </xf>
    <xf numFmtId="0" fontId="7" fillId="0" borderId="0" xfId="0" applyFont="1" applyAlignment="1">
      <alignment horizontal="center" vertical="center"/>
    </xf>
    <xf numFmtId="0" fontId="7" fillId="0" borderId="0" xfId="0" applyFont="1" applyAlignment="1" applyProtection="1">
      <alignment vertical="center"/>
      <protection locked="0"/>
    </xf>
    <xf numFmtId="0" fontId="7" fillId="0" borderId="0" xfId="0" applyFont="1" applyProtection="1">
      <protection locked="0"/>
    </xf>
    <xf numFmtId="49" fontId="7" fillId="0" borderId="0" xfId="0" applyNumberFormat="1" applyFont="1"/>
    <xf numFmtId="173" fontId="7" fillId="0" borderId="0" xfId="1" applyNumberFormat="1" applyFont="1" applyBorder="1" applyAlignment="1">
      <alignment horizontal="center"/>
    </xf>
    <xf numFmtId="0" fontId="7" fillId="0" borderId="0" xfId="0" applyFont="1" applyAlignment="1">
      <alignment horizontal="center"/>
    </xf>
    <xf numFmtId="171" fontId="7" fillId="0" borderId="0" xfId="0" applyNumberFormat="1" applyFont="1" applyAlignment="1">
      <alignment horizontal="center" vertical="center"/>
    </xf>
    <xf numFmtId="171" fontId="7" fillId="0" borderId="0" xfId="0" applyNumberFormat="1" applyFont="1"/>
    <xf numFmtId="170" fontId="7" fillId="0" borderId="0" xfId="5" applyNumberFormat="1" applyFont="1" applyBorder="1"/>
    <xf numFmtId="170" fontId="7" fillId="0" borderId="0" xfId="6" applyNumberFormat="1" applyFont="1" applyBorder="1" applyProtection="1">
      <protection locked="0"/>
    </xf>
    <xf numFmtId="169" fontId="7" fillId="0" borderId="0" xfId="0" applyNumberFormat="1" applyFont="1"/>
    <xf numFmtId="49" fontId="7" fillId="0" borderId="0" xfId="0" applyNumberFormat="1" applyFont="1" applyAlignment="1">
      <alignment vertical="center"/>
    </xf>
    <xf numFmtId="173" fontId="7" fillId="0" borderId="0" xfId="11" applyNumberFormat="1" applyFont="1" applyBorder="1" applyAlignment="1">
      <alignment horizontal="center"/>
    </xf>
    <xf numFmtId="0" fontId="0" fillId="0" borderId="24" xfId="0" applyBorder="1"/>
    <xf numFmtId="49" fontId="0" fillId="0" borderId="20" xfId="0" applyNumberFormat="1" applyBorder="1"/>
    <xf numFmtId="0" fontId="0" fillId="0" borderId="20" xfId="0" applyBorder="1" applyAlignment="1">
      <alignment horizontal="center"/>
    </xf>
    <xf numFmtId="49" fontId="10" fillId="2" borderId="15" xfId="0" applyNumberFormat="1" applyFont="1" applyFill="1" applyBorder="1" applyAlignment="1">
      <alignment horizontal="center" vertical="center" wrapText="1"/>
    </xf>
    <xf numFmtId="49" fontId="17" fillId="2" borderId="25" xfId="0" applyNumberFormat="1" applyFont="1" applyFill="1" applyBorder="1" applyAlignment="1">
      <alignment horizontal="left" vertical="center" wrapText="1"/>
    </xf>
    <xf numFmtId="0" fontId="8" fillId="2" borderId="25" xfId="0" applyFont="1" applyFill="1" applyBorder="1" applyAlignment="1">
      <alignment horizontal="left" vertical="center" wrapText="1"/>
    </xf>
    <xf numFmtId="0" fontId="8" fillId="2" borderId="25" xfId="0" applyFont="1" applyFill="1" applyBorder="1" applyAlignment="1">
      <alignment vertical="top" wrapText="1"/>
    </xf>
    <xf numFmtId="0" fontId="1" fillId="2" borderId="25" xfId="0" applyFont="1" applyFill="1" applyBorder="1" applyAlignment="1">
      <alignment vertical="top" wrapText="1"/>
    </xf>
    <xf numFmtId="0" fontId="1" fillId="2" borderId="25" xfId="0" applyFont="1" applyFill="1" applyBorder="1" applyAlignment="1">
      <alignment vertical="top"/>
    </xf>
    <xf numFmtId="0" fontId="1" fillId="2" borderId="25" xfId="0" applyFont="1" applyFill="1" applyBorder="1" applyAlignment="1">
      <alignment horizontal="center" vertical="top" wrapText="1"/>
    </xf>
    <xf numFmtId="0" fontId="1" fillId="2" borderId="16" xfId="0" applyFont="1" applyFill="1" applyBorder="1" applyAlignment="1" applyProtection="1">
      <alignment horizontal="center" vertical="top"/>
      <protection locked="0"/>
    </xf>
    <xf numFmtId="7" fontId="0" fillId="9" borderId="36" xfId="0" applyNumberFormat="1" applyFill="1" applyBorder="1"/>
    <xf numFmtId="7" fontId="0" fillId="10" borderId="36" xfId="0" applyNumberFormat="1" applyFill="1" applyBorder="1"/>
    <xf numFmtId="7" fontId="0" fillId="14" borderId="36" xfId="0" applyNumberFormat="1" applyFill="1" applyBorder="1"/>
    <xf numFmtId="49" fontId="7" fillId="0" borderId="0" xfId="0" applyNumberFormat="1" applyFont="1" applyAlignment="1">
      <alignment horizontal="center"/>
    </xf>
    <xf numFmtId="0" fontId="7" fillId="0" borderId="0" xfId="0" applyFont="1" applyAlignment="1" applyProtection="1">
      <alignment horizontal="left" vertical="center" wrapText="1" indent="1"/>
      <protection locked="0"/>
    </xf>
    <xf numFmtId="49" fontId="7" fillId="0" borderId="0" xfId="0" applyNumberFormat="1" applyFont="1" applyAlignment="1">
      <alignment horizontal="center" vertical="center"/>
    </xf>
    <xf numFmtId="173" fontId="7" fillId="0" borderId="0" xfId="1" applyNumberFormat="1" applyFont="1" applyBorder="1" applyAlignment="1" applyProtection="1">
      <alignment horizontal="center" vertical="center"/>
      <protection locked="0"/>
    </xf>
    <xf numFmtId="170" fontId="7" fillId="0" borderId="0" xfId="5" applyNumberFormat="1" applyFont="1" applyBorder="1" applyProtection="1"/>
    <xf numFmtId="168" fontId="7" fillId="5" borderId="0" xfId="0" applyNumberFormat="1" applyFont="1" applyFill="1" applyAlignment="1" applyProtection="1">
      <alignment horizontal="center"/>
      <protection locked="0"/>
    </xf>
    <xf numFmtId="168" fontId="7" fillId="4" borderId="6" xfId="0" applyNumberFormat="1" applyFont="1" applyFill="1" applyBorder="1" applyAlignment="1">
      <alignment horizontal="center"/>
    </xf>
    <xf numFmtId="168" fontId="7" fillId="0" borderId="0" xfId="0" applyNumberFormat="1" applyFont="1" applyAlignment="1" applyProtection="1">
      <alignment horizontal="center"/>
      <protection locked="0"/>
    </xf>
    <xf numFmtId="0" fontId="11" fillId="0" borderId="0" xfId="0" applyFont="1" applyAlignment="1">
      <alignment horizontal="center"/>
    </xf>
    <xf numFmtId="167" fontId="7" fillId="0" borderId="10" xfId="1" applyNumberFormat="1" applyFont="1" applyFill="1" applyBorder="1" applyAlignment="1" applyProtection="1">
      <alignment horizontal="center"/>
      <protection locked="0"/>
    </xf>
    <xf numFmtId="167" fontId="7" fillId="0" borderId="2" xfId="1" applyNumberFormat="1" applyFont="1" applyFill="1" applyBorder="1" applyAlignment="1" applyProtection="1">
      <alignment horizontal="center" vertical="center"/>
      <protection locked="0"/>
    </xf>
    <xf numFmtId="168" fontId="7" fillId="0" borderId="4" xfId="0" applyNumberFormat="1" applyFont="1" applyBorder="1" applyAlignment="1" applyProtection="1">
      <alignment horizontal="center"/>
      <protection locked="0"/>
    </xf>
    <xf numFmtId="168" fontId="7" fillId="9" borderId="37" xfId="0" applyNumberFormat="1" applyFont="1" applyFill="1" applyBorder="1" applyAlignment="1" applyProtection="1">
      <alignment horizontal="center" vertical="center"/>
      <protection locked="0"/>
    </xf>
    <xf numFmtId="0" fontId="7" fillId="20" borderId="0" xfId="0" applyFont="1" applyFill="1" applyAlignment="1" applyProtection="1">
      <alignment vertical="center"/>
      <protection locked="0"/>
    </xf>
    <xf numFmtId="0" fontId="21" fillId="0" borderId="0" xfId="0" applyFont="1" applyAlignment="1" applyProtection="1">
      <alignment vertical="center"/>
      <protection locked="0"/>
    </xf>
    <xf numFmtId="0" fontId="22" fillId="0" borderId="0" xfId="0" applyFont="1" applyProtection="1">
      <protection locked="0"/>
    </xf>
    <xf numFmtId="0" fontId="21" fillId="0" borderId="0" xfId="0" applyFont="1" applyProtection="1">
      <protection locked="0"/>
    </xf>
    <xf numFmtId="49" fontId="10" fillId="2" borderId="2" xfId="0" applyNumberFormat="1" applyFont="1" applyFill="1" applyBorder="1" applyAlignment="1">
      <alignment horizontal="center" vertical="center" wrapText="1"/>
    </xf>
    <xf numFmtId="0" fontId="25" fillId="0" borderId="0" xfId="0" applyFont="1"/>
    <xf numFmtId="0" fontId="21" fillId="0" borderId="0" xfId="0" applyFont="1" applyAlignment="1" applyProtection="1">
      <alignment wrapText="1"/>
      <protection locked="0"/>
    </xf>
    <xf numFmtId="0" fontId="1" fillId="6" borderId="17" xfId="0" applyFont="1" applyFill="1" applyBorder="1" applyAlignment="1">
      <alignment horizontal="center"/>
    </xf>
    <xf numFmtId="0" fontId="1" fillId="6" borderId="19" xfId="0" applyFont="1" applyFill="1" applyBorder="1" applyAlignment="1">
      <alignment horizontal="center"/>
    </xf>
    <xf numFmtId="0" fontId="1" fillId="6" borderId="18" xfId="0" applyFont="1" applyFill="1" applyBorder="1" applyAlignment="1">
      <alignment horizontal="center"/>
    </xf>
    <xf numFmtId="0" fontId="1" fillId="8" borderId="7" xfId="0" applyFont="1" applyFill="1" applyBorder="1" applyAlignment="1">
      <alignment horizontal="center"/>
    </xf>
    <xf numFmtId="0" fontId="1" fillId="8" borderId="8" xfId="0" applyFont="1" applyFill="1" applyBorder="1" applyAlignment="1">
      <alignment horizontal="center"/>
    </xf>
    <xf numFmtId="0" fontId="1" fillId="8" borderId="9" xfId="0" applyFont="1" applyFill="1" applyBorder="1" applyAlignment="1">
      <alignment horizontal="center"/>
    </xf>
    <xf numFmtId="173" fontId="1" fillId="13" borderId="0" xfId="1" applyNumberFormat="1" applyFont="1" applyFill="1" applyAlignment="1">
      <alignment horizontal="center"/>
    </xf>
    <xf numFmtId="0" fontId="9" fillId="0" borderId="22" xfId="0" applyFont="1" applyBorder="1" applyAlignment="1">
      <alignment horizontal="center" vertical="center" wrapText="1"/>
    </xf>
    <xf numFmtId="0" fontId="9" fillId="0" borderId="0" xfId="0" applyFont="1" applyAlignment="1">
      <alignment horizontal="center" vertical="center" wrapText="1"/>
    </xf>
    <xf numFmtId="0" fontId="9" fillId="0" borderId="24" xfId="0" applyFont="1" applyBorder="1" applyAlignment="1">
      <alignment horizontal="center" vertical="center" wrapText="1"/>
    </xf>
    <xf numFmtId="0" fontId="9" fillId="0" borderId="20" xfId="0" applyFont="1" applyBorder="1" applyAlignment="1">
      <alignment horizontal="center" vertical="center" wrapText="1"/>
    </xf>
    <xf numFmtId="0" fontId="1" fillId="7" borderId="17" xfId="0" applyFont="1" applyFill="1" applyBorder="1" applyAlignment="1">
      <alignment horizontal="center"/>
    </xf>
    <xf numFmtId="0" fontId="1" fillId="7" borderId="19" xfId="0" applyFont="1" applyFill="1" applyBorder="1" applyAlignment="1">
      <alignment horizontal="center"/>
    </xf>
    <xf numFmtId="0" fontId="1" fillId="6" borderId="22" xfId="0" applyFont="1" applyFill="1" applyBorder="1" applyAlignment="1">
      <alignment horizontal="center"/>
    </xf>
    <xf numFmtId="0" fontId="1" fillId="6" borderId="0" xfId="0" applyFont="1" applyFill="1" applyAlignment="1">
      <alignment horizontal="center"/>
    </xf>
    <xf numFmtId="0" fontId="9" fillId="0" borderId="0" xfId="0" applyFont="1" applyAlignment="1">
      <alignment horizontal="left" vertical="center" wrapText="1"/>
    </xf>
    <xf numFmtId="0" fontId="9" fillId="0" borderId="10" xfId="0" applyFont="1" applyBorder="1" applyAlignment="1">
      <alignment horizontal="left" vertical="center" wrapText="1"/>
    </xf>
    <xf numFmtId="0" fontId="9" fillId="0" borderId="20" xfId="0" applyFont="1" applyBorder="1" applyAlignment="1">
      <alignment horizontal="left" vertical="center" wrapText="1"/>
    </xf>
    <xf numFmtId="0" fontId="9" fillId="0" borderId="21" xfId="0" applyFont="1" applyBorder="1" applyAlignment="1">
      <alignment horizontal="left" vertical="center" wrapText="1"/>
    </xf>
    <xf numFmtId="0" fontId="8" fillId="2" borderId="17" xfId="0" applyFont="1" applyFill="1" applyBorder="1" applyAlignment="1">
      <alignment horizontal="center" vertical="center" wrapText="1"/>
    </xf>
    <xf numFmtId="0" fontId="8" fillId="2" borderId="19" xfId="0" applyFont="1" applyFill="1" applyBorder="1" applyAlignment="1">
      <alignment horizontal="center" vertical="center" wrapText="1"/>
    </xf>
    <xf numFmtId="0" fontId="8" fillId="2" borderId="18" xfId="0" applyFont="1" applyFill="1" applyBorder="1" applyAlignment="1">
      <alignment horizontal="center" vertical="center" wrapText="1"/>
    </xf>
    <xf numFmtId="0" fontId="8" fillId="2" borderId="22" xfId="0" applyFont="1" applyFill="1" applyBorder="1" applyAlignment="1">
      <alignment horizontal="center" vertical="center" wrapText="1"/>
    </xf>
    <xf numFmtId="0" fontId="8" fillId="2" borderId="0" xfId="0" applyFont="1" applyFill="1" applyAlignment="1">
      <alignment horizontal="center" vertical="center" wrapText="1"/>
    </xf>
    <xf numFmtId="0" fontId="8" fillId="2" borderId="10" xfId="0" applyFont="1" applyFill="1" applyBorder="1" applyAlignment="1">
      <alignment horizontal="center" vertical="center" wrapText="1"/>
    </xf>
    <xf numFmtId="0" fontId="9" fillId="0" borderId="17" xfId="0" applyFont="1" applyBorder="1" applyAlignment="1">
      <alignment horizontal="center" vertical="center" wrapText="1"/>
    </xf>
    <xf numFmtId="0" fontId="9" fillId="0" borderId="19" xfId="0" applyFont="1" applyBorder="1" applyAlignment="1">
      <alignment horizontal="center" vertical="center" wrapText="1"/>
    </xf>
    <xf numFmtId="0" fontId="9" fillId="0" borderId="19" xfId="0" applyFont="1" applyBorder="1" applyAlignment="1">
      <alignment horizontal="left" vertical="center" wrapText="1"/>
    </xf>
    <xf numFmtId="0" fontId="9" fillId="0" borderId="18" xfId="0" applyFont="1" applyBorder="1" applyAlignment="1">
      <alignment horizontal="left" vertical="center" wrapText="1"/>
    </xf>
    <xf numFmtId="173" fontId="18" fillId="10" borderId="34" xfId="0" applyNumberFormat="1" applyFont="1" applyFill="1" applyBorder="1" applyAlignment="1">
      <alignment horizontal="center" vertical="center"/>
    </xf>
    <xf numFmtId="173" fontId="18" fillId="9" borderId="34" xfId="0" applyNumberFormat="1" applyFont="1" applyFill="1" applyBorder="1" applyAlignment="1">
      <alignment horizontal="center" vertical="center"/>
    </xf>
    <xf numFmtId="173" fontId="18" fillId="14" borderId="34" xfId="0" applyNumberFormat="1" applyFont="1" applyFill="1" applyBorder="1" applyAlignment="1">
      <alignment horizontal="center" vertical="center"/>
    </xf>
    <xf numFmtId="0" fontId="1" fillId="2" borderId="17" xfId="0" applyFont="1" applyFill="1" applyBorder="1" applyAlignment="1">
      <alignment horizontal="center" vertical="top"/>
    </xf>
    <xf numFmtId="0" fontId="1" fillId="2" borderId="19" xfId="0" applyFont="1" applyFill="1" applyBorder="1" applyAlignment="1">
      <alignment horizontal="center" vertical="top"/>
    </xf>
    <xf numFmtId="0" fontId="1" fillId="2" borderId="18" xfId="0" applyFont="1" applyFill="1" applyBorder="1" applyAlignment="1">
      <alignment horizontal="center" vertical="top"/>
    </xf>
    <xf numFmtId="0" fontId="0" fillId="0" borderId="0" xfId="0" applyAlignment="1">
      <alignment horizontal="center"/>
    </xf>
    <xf numFmtId="0" fontId="1" fillId="13" borderId="0" xfId="0" applyFont="1" applyFill="1" applyAlignment="1">
      <alignment horizontal="center"/>
    </xf>
  </cellXfs>
  <cellStyles count="13">
    <cellStyle name="Moeda" xfId="1" builtinId="4"/>
    <cellStyle name="Moeda 2" xfId="7" xr:uid="{C641A08A-10F7-4E93-8D9F-3FAE7B81195F}"/>
    <cellStyle name="Moeda 2 2" xfId="11" xr:uid="{6AB5D9DE-DEFD-4868-B86E-30AD16BCA3E2}"/>
    <cellStyle name="Moeda 3" xfId="9" xr:uid="{E8CD69A4-82A5-449D-80D5-4276742315E7}"/>
    <cellStyle name="Normal" xfId="0" builtinId="0"/>
    <cellStyle name="Normal 2" xfId="2" xr:uid="{CE7C3382-55B8-433D-A066-91FE290D611E}"/>
    <cellStyle name="Normal 4 2 3" xfId="4" xr:uid="{757350F2-C932-4F19-B127-84AF6567F7CD}"/>
    <cellStyle name="Normal 4 6" xfId="3" xr:uid="{057C0A80-20B1-4AD1-91D9-7CBF4013FFB8}"/>
    <cellStyle name="Porcentagem" xfId="6" builtinId="5"/>
    <cellStyle name="Vírgula" xfId="5" builtinId="3"/>
    <cellStyle name="Vírgula 2" xfId="8" xr:uid="{F4E0C610-6EC6-44C9-8E8B-F2F410AAF42B}"/>
    <cellStyle name="Vírgula 2 2" xfId="12" xr:uid="{809625C3-4E37-4A99-B9CB-84BE659CA892}"/>
    <cellStyle name="Vírgula 3" xfId="10" xr:uid="{F4FB0CBD-2EB3-4D29-B9E6-761209D06FB4}"/>
  </cellStyles>
  <dxfs count="97">
    <dxf>
      <font>
        <color theme="1"/>
      </font>
    </dxf>
    <dxf>
      <font>
        <color theme="5" tint="-0.24994659260841701"/>
      </font>
    </dxf>
    <dxf>
      <font>
        <color theme="9" tint="0.59996337778862885"/>
      </font>
    </dxf>
    <dxf>
      <font>
        <color rgb="FFFF0000"/>
      </font>
    </dxf>
    <dxf>
      <font>
        <color rgb="FFC89800"/>
      </font>
    </dxf>
    <dxf>
      <font>
        <strike val="0"/>
        <outline val="0"/>
        <shadow val="0"/>
        <u val="none"/>
        <vertAlign val="baseline"/>
        <sz val="12"/>
        <color rgb="FF000000"/>
      </font>
      <fill>
        <patternFill patternType="none">
          <fgColor rgb="FF000000"/>
          <bgColor auto="1"/>
        </patternFill>
      </fill>
      <protection locked="0" hidden="0"/>
    </dxf>
    <dxf>
      <alignment horizontal="left" vertical="bottom" textRotation="0" wrapText="0" indent="0" justifyLastLine="0" shrinkToFit="0" readingOrder="0"/>
    </dxf>
    <dxf>
      <font>
        <strike val="0"/>
        <outline val="0"/>
        <shadow val="0"/>
        <u val="none"/>
        <vertAlign val="baseline"/>
        <sz val="12"/>
        <color theme="1"/>
      </font>
      <numFmt numFmtId="168" formatCode="#,##0_ ;\-#,##0\ "/>
      <fill>
        <patternFill patternType="none">
          <fgColor indexed="64"/>
          <bgColor auto="1"/>
        </patternFill>
      </fill>
      <alignment horizontal="left" vertical="bottom" textRotation="0" wrapText="0" indent="0" justifyLastLine="0" shrinkToFit="0" readingOrder="0"/>
      <protection locked="0" hidden="0"/>
    </dxf>
    <dxf>
      <font>
        <b val="0"/>
        <i val="0"/>
        <strike val="0"/>
        <condense val="0"/>
        <extend val="0"/>
        <outline val="0"/>
        <shadow val="0"/>
        <u val="none"/>
        <vertAlign val="baseline"/>
        <sz val="12"/>
        <color theme="1"/>
        <name val="Calibri"/>
        <family val="2"/>
        <scheme val="minor"/>
      </font>
      <numFmt numFmtId="168" formatCode="#,##0_ ;\-#,##0\ "/>
      <alignment horizontal="center" vertical="bottom" textRotation="0" wrapText="0" indent="0" justifyLastLine="0" shrinkToFit="0" readingOrder="0"/>
      <protection locked="1" hidden="0"/>
    </dxf>
    <dxf>
      <font>
        <strike val="0"/>
        <outline val="0"/>
        <shadow val="0"/>
        <u val="none"/>
        <vertAlign val="baseline"/>
        <sz val="12"/>
        <color theme="1"/>
      </font>
      <numFmt numFmtId="168" formatCode="#,##0_ ;\-#,##0\ "/>
      <fill>
        <patternFill patternType="none">
          <fgColor indexed="64"/>
          <bgColor auto="1"/>
        </patternFill>
      </fill>
      <alignment horizontal="center" vertical="bottom" textRotation="0" wrapText="0" indent="0" justifyLastLine="0" shrinkToFit="0" readingOrder="0"/>
      <protection locked="1" hidden="0"/>
    </dxf>
    <dxf>
      <font>
        <strike val="0"/>
        <outline val="0"/>
        <shadow val="0"/>
        <u val="none"/>
        <vertAlign val="baseline"/>
        <sz val="12"/>
        <color theme="0"/>
        <name val="Calibri"/>
        <family val="2"/>
        <scheme val="minor"/>
      </font>
      <numFmt numFmtId="0" formatCode="General"/>
      <fill>
        <patternFill patternType="none">
          <fgColor indexed="64"/>
          <bgColor theme="6" tint="-0.499984740745262"/>
        </patternFill>
      </fill>
      <alignment horizontal="center" vertical="bottom" textRotation="0" wrapText="0" indent="0" justifyLastLine="0" shrinkToFit="0" readingOrder="0"/>
      <protection locked="1" hidden="0"/>
    </dxf>
    <dxf>
      <border diagonalUp="0" diagonalDown="0" outline="0">
        <left/>
        <right/>
        <top/>
        <bottom style="medium">
          <color indexed="64"/>
        </bottom>
      </border>
    </dxf>
    <dxf>
      <font>
        <strike val="0"/>
        <outline val="0"/>
        <shadow val="0"/>
        <u val="none"/>
        <vertAlign val="baseline"/>
        <sz val="12"/>
        <color theme="1"/>
      </font>
      <fill>
        <patternFill patternType="none">
          <fgColor indexed="64"/>
          <bgColor theme="6" tint="0.79998168889431442"/>
        </patternFill>
      </fill>
      <alignment horizontal="center" vertical="bottom" textRotation="0" wrapText="0" indent="0" justifyLastLine="0" shrinkToFit="0" readingOrder="0"/>
      <protection locked="0" hidden="0"/>
    </dxf>
    <dxf>
      <border diagonalUp="0" diagonalDown="0" outline="0">
        <left/>
        <right/>
        <top/>
        <bottom style="medium">
          <color indexed="64"/>
        </bottom>
      </border>
    </dxf>
    <dxf>
      <font>
        <b val="0"/>
        <i val="0"/>
        <strike val="0"/>
        <condense val="0"/>
        <extend val="0"/>
        <outline val="0"/>
        <shadow val="0"/>
        <u val="none"/>
        <vertAlign val="baseline"/>
        <sz val="12"/>
        <color theme="1"/>
        <name val="Calibri"/>
        <family val="2"/>
        <scheme val="minor"/>
      </font>
      <numFmt numFmtId="168" formatCode="#,##0_ ;\-#,##0\ "/>
      <fill>
        <patternFill patternType="solid">
          <fgColor indexed="64"/>
          <bgColor theme="6" tint="0.79998168889431442"/>
        </patternFill>
      </fill>
      <alignment horizontal="center" vertical="center" textRotation="0" wrapText="0" indent="0" justifyLastLine="0" shrinkToFit="0" readingOrder="0"/>
      <protection locked="0" hidden="0"/>
    </dxf>
    <dxf>
      <border diagonalUp="0" diagonalDown="0" outline="0">
        <left/>
        <right/>
        <top/>
        <bottom style="medium">
          <color indexed="64"/>
        </bottom>
      </border>
    </dxf>
    <dxf>
      <font>
        <strike val="0"/>
        <outline val="0"/>
        <shadow val="0"/>
        <u val="none"/>
        <vertAlign val="baseline"/>
        <sz val="12"/>
        <color theme="1"/>
      </font>
      <fill>
        <patternFill patternType="none">
          <fgColor indexed="64"/>
          <bgColor theme="6" tint="0.79998168889431442"/>
        </patternFill>
      </fill>
      <alignment horizontal="center" vertical="bottom" textRotation="0" wrapText="0" indent="0" justifyLastLine="0" shrinkToFit="0" readingOrder="0"/>
      <protection locked="0" hidden="0"/>
    </dxf>
    <dxf>
      <border diagonalUp="0" diagonalDown="0" outline="0">
        <left/>
        <right/>
        <top/>
        <bottom style="medium">
          <color indexed="64"/>
        </bottom>
      </border>
    </dxf>
    <dxf>
      <font>
        <strike val="0"/>
        <outline val="0"/>
        <shadow val="0"/>
        <u val="none"/>
        <vertAlign val="baseline"/>
        <sz val="12"/>
        <color theme="1"/>
      </font>
      <fill>
        <patternFill patternType="none">
          <fgColor indexed="64"/>
          <bgColor theme="6" tint="0.79998168889431442"/>
        </patternFill>
      </fill>
      <alignment horizontal="center" vertical="bottom" textRotation="0" wrapText="0" indent="0" justifyLastLine="0" shrinkToFit="0" readingOrder="0"/>
      <protection locked="0" hidden="0"/>
    </dxf>
    <dxf>
      <border diagonalUp="0" diagonalDown="0" outline="0">
        <left style="medium">
          <color indexed="64"/>
        </left>
        <right/>
        <top/>
        <bottom style="medium">
          <color indexed="64"/>
        </bottom>
      </border>
    </dxf>
    <dxf>
      <font>
        <strike val="0"/>
        <outline val="0"/>
        <shadow val="0"/>
        <u val="none"/>
        <vertAlign val="baseline"/>
        <sz val="12"/>
        <color theme="1"/>
      </font>
      <fill>
        <patternFill patternType="none">
          <fgColor indexed="64"/>
          <bgColor theme="6" tint="0.79998168889431442"/>
        </patternFill>
      </fill>
      <alignment horizontal="center" vertical="bottom" textRotation="0" wrapText="0" indent="0" justifyLastLine="0" shrinkToFit="0" readingOrder="0"/>
      <border diagonalUp="0" diagonalDown="0">
        <left style="medium">
          <color indexed="64"/>
        </left>
      </border>
      <protection locked="0" hidden="0"/>
    </dxf>
    <dxf>
      <numFmt numFmtId="167" formatCode="_-&quot;R$&quot;\ * #,##0_-;\-&quot;R$&quot;\ * #,##0_-;_-&quot;R$&quot;\ * &quot;-&quot;??_-;_-@_-"/>
    </dxf>
    <dxf>
      <font>
        <strike val="0"/>
        <outline val="0"/>
        <shadow val="0"/>
        <u val="none"/>
        <vertAlign val="baseline"/>
        <sz val="12"/>
        <color theme="1"/>
      </font>
      <numFmt numFmtId="168" formatCode="#,##0_ ;\-#,##0\ "/>
      <fill>
        <patternFill patternType="solid">
          <fgColor indexed="64"/>
          <bgColor theme="9" tint="0.39997558519241921"/>
        </patternFill>
      </fill>
      <alignment horizontal="center" vertical="bottom" textRotation="0" wrapText="0" indent="0" justifyLastLine="0" shrinkToFit="0" readingOrder="0"/>
      <border diagonalUp="0" diagonalDown="0">
        <left/>
        <right style="medium">
          <color indexed="64"/>
        </right>
        <vertical/>
      </border>
      <protection locked="1" hidden="0"/>
    </dxf>
    <dxf>
      <numFmt numFmtId="167" formatCode="_-&quot;R$&quot;\ * #,##0_-;\-&quot;R$&quot;\ * #,##0_-;_-&quot;R$&quot;\ * &quot;-&quot;??_-;_-@_-"/>
      <border diagonalUp="0" diagonalDown="0" outline="0">
        <left/>
        <right/>
        <top/>
        <bottom style="thick">
          <color auto="1"/>
        </bottom>
      </border>
    </dxf>
    <dxf>
      <font>
        <strike val="0"/>
        <outline val="0"/>
        <shadow val="0"/>
        <u val="none"/>
        <vertAlign val="baseline"/>
        <sz val="12"/>
        <color theme="1"/>
      </font>
      <numFmt numFmtId="168" formatCode="#,##0_ ;\-#,##0\ "/>
      <fill>
        <patternFill patternType="solid">
          <fgColor indexed="64"/>
          <bgColor theme="9" tint="0.79998168889431442"/>
        </patternFill>
      </fill>
      <alignment horizontal="center" vertical="bottom" textRotation="0" wrapText="0" indent="0" justifyLastLine="0" shrinkToFit="0" readingOrder="0"/>
      <protection locked="0" hidden="0"/>
    </dxf>
    <dxf>
      <alignment horizontal="right" vertical="bottom" textRotation="0" wrapText="0" indent="0" justifyLastLine="0" shrinkToFit="0" readingOrder="0"/>
      <border diagonalUp="0" diagonalDown="0" outline="0">
        <left/>
        <right/>
        <top/>
        <bottom style="thick">
          <color auto="1"/>
        </bottom>
      </border>
    </dxf>
    <dxf>
      <font>
        <b val="0"/>
        <i val="0"/>
        <strike val="0"/>
        <condense val="0"/>
        <extend val="0"/>
        <outline val="0"/>
        <shadow val="0"/>
        <u val="none"/>
        <vertAlign val="baseline"/>
        <sz val="12"/>
        <color theme="1"/>
        <name val="Calibri"/>
        <family val="2"/>
        <scheme val="minor"/>
      </font>
      <numFmt numFmtId="168" formatCode="#,##0_ ;\-#,##0\ "/>
      <fill>
        <patternFill patternType="solid">
          <fgColor indexed="64"/>
          <bgColor theme="9" tint="0.79998168889431442"/>
        </patternFill>
      </fill>
      <alignment horizontal="center" vertical="bottom" textRotation="0" wrapText="0" indent="0" justifyLastLine="0" shrinkToFit="0" readingOrder="0"/>
      <protection locked="0" hidden="0"/>
    </dxf>
    <dxf>
      <alignment horizontal="right" vertical="bottom" textRotation="0" wrapText="0" indent="0" justifyLastLine="0" shrinkToFit="0" readingOrder="0"/>
      <border diagonalUp="0" diagonalDown="0" outline="0">
        <left/>
        <right/>
        <top/>
        <bottom style="thick">
          <color auto="1"/>
        </bottom>
      </border>
    </dxf>
    <dxf>
      <font>
        <strike val="0"/>
        <outline val="0"/>
        <shadow val="0"/>
        <u val="none"/>
        <vertAlign val="baseline"/>
        <sz val="12"/>
        <color theme="1"/>
      </font>
      <numFmt numFmtId="168" formatCode="#,##0_ ;\-#,##0\ "/>
      <fill>
        <patternFill patternType="solid">
          <fgColor indexed="64"/>
          <bgColor theme="9" tint="0.79998168889431442"/>
        </patternFill>
      </fill>
      <alignment horizontal="center" vertical="bottom" textRotation="0" wrapText="0" indent="0" justifyLastLine="0" shrinkToFit="0" readingOrder="0"/>
      <protection locked="0" hidden="0"/>
    </dxf>
    <dxf>
      <alignment horizontal="right" vertical="bottom" textRotation="0" wrapText="0" indent="0" justifyLastLine="0" shrinkToFit="0" readingOrder="0"/>
      <border diagonalUp="0" diagonalDown="0" outline="0">
        <left/>
        <right/>
        <top/>
        <bottom style="thick">
          <color auto="1"/>
        </bottom>
      </border>
    </dxf>
    <dxf>
      <font>
        <b val="0"/>
        <i val="0"/>
        <strike val="0"/>
        <condense val="0"/>
        <extend val="0"/>
        <outline val="0"/>
        <shadow val="0"/>
        <u val="none"/>
        <vertAlign val="baseline"/>
        <sz val="12"/>
        <color theme="1"/>
        <name val="Calibri"/>
        <family val="2"/>
        <scheme val="minor"/>
      </font>
      <numFmt numFmtId="167" formatCode="_-&quot;R$&quot;\ * #,##0_-;\-&quot;R$&quot;\ * #,##0_-;_-&quot;R$&quot;\ * &quot;-&quot;??_-;_-@_-"/>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bottom/>
        <vertical/>
        <horizontal/>
      </border>
      <protection locked="0" hidden="0"/>
    </dxf>
    <dxf>
      <alignment horizontal="right" vertical="bottom" textRotation="0" wrapText="0" indent="0" justifyLastLine="0" shrinkToFit="0" readingOrder="0"/>
      <border diagonalUp="0" diagonalDown="0" outline="0">
        <left/>
        <right style="thin">
          <color indexed="64"/>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border diagonalUp="0" diagonalDown="0">
        <left/>
        <right style="thin">
          <color indexed="64"/>
        </right>
        <top/>
        <bottom/>
        <vertical/>
        <horizontal/>
      </border>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69" formatCode="_-* #,##0_-;\-* #,##0_-;_-* &quot;-&quot;??_-;_-@_-"/>
      <alignment horizontal="center" vertical="bottom"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70" formatCode="0.0%"/>
      <protection locked="0"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70" formatCode="0.0%"/>
      <protection locked="1"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numFmt numFmtId="171" formatCode="dd/mm/yy;@"/>
      <protection locked="1" hidden="0"/>
    </dxf>
    <dxf>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71" formatCode="dd/mm/yy;@"/>
      <alignment horizontal="center" vertical="center" textRotation="0" wrapText="0" indent="0" justifyLastLine="0" shrinkToFit="0" readingOrder="0"/>
      <protection locked="1" hidden="0"/>
    </dxf>
    <dxf>
      <alignment horizontal="center"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font>
      <alignment horizontal="center" textRotation="0" indent="0" justifyLastLine="0" shrinkToFit="0" readingOrder="0"/>
      <protection locked="1" hidden="0"/>
    </dxf>
    <dxf>
      <numFmt numFmtId="30" formatCode="@"/>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73" formatCode="_(&quot;R$&quot;* #,##0_);_(&quot;R$&quot;* \(#,##0\);_(&quot;R$&quot;* &quot;-&quot;??_);_(@_)"/>
      <alignment horizontal="center" vertical="center" textRotation="0" wrapText="0" indent="0" justifyLastLine="0" shrinkToFit="0" readingOrder="0"/>
      <protection locked="0" hidden="0"/>
    </dxf>
    <dxf>
      <numFmt numFmtId="30" formatCode="@"/>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protection locked="1" hidden="0"/>
    </dxf>
    <dxf>
      <numFmt numFmtId="30" formatCode="@"/>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173" formatCode="_(&quot;R$&quot;* #,##0_);_(&quot;R$&quot;* \(#,##0\);_(&quot;R$&quot;* &quot;-&quot;??_);_(@_)"/>
      <alignment horizontal="center" vertical="center" textRotation="0" wrapText="0" indent="0" justifyLastLine="0" shrinkToFit="0" readingOrder="0"/>
      <protection locked="0" hidden="0"/>
    </dxf>
    <dxf>
      <numFmt numFmtId="30" formatCode="@"/>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numFmt numFmtId="30" formatCode="@"/>
      <fill>
        <patternFill patternType="none">
          <fgColor indexed="64"/>
          <bgColor indexed="65"/>
        </patternFill>
      </fill>
      <protection locked="1" hidden="0"/>
    </dxf>
    <dxf>
      <numFmt numFmtId="30" formatCode="@"/>
      <border diagonalUp="0" diagonalDown="0" outline="0">
        <left/>
        <right/>
        <top/>
        <bottom style="thin">
          <color indexed="64"/>
        </bottom>
      </border>
    </dxf>
    <dxf>
      <font>
        <strike val="0"/>
        <outline val="0"/>
        <shadow val="0"/>
        <u val="none"/>
        <vertAlign val="baseline"/>
        <sz val="12"/>
        <color theme="1"/>
        <name val="Calibri"/>
        <family val="2"/>
        <scheme val="minor"/>
      </font>
      <numFmt numFmtId="30" formatCode="@"/>
      <fill>
        <patternFill patternType="none">
          <fgColor indexed="64"/>
          <bgColor auto="1"/>
        </patternFill>
      </fill>
      <protection locked="1" hidden="0"/>
    </dxf>
    <dxf>
      <numFmt numFmtId="30" formatCode="@"/>
      <border diagonalUp="0" diagonalDown="0" outline="0">
        <left/>
        <right/>
        <top/>
        <bottom style="thin">
          <color indexed="64"/>
        </bottom>
      </border>
    </dxf>
    <dxf>
      <font>
        <strike val="0"/>
        <outline val="0"/>
        <shadow val="0"/>
        <u val="none"/>
        <vertAlign val="baseline"/>
        <sz val="12"/>
        <color theme="1"/>
        <name val="Calibri"/>
        <family val="2"/>
        <scheme val="minor"/>
      </font>
      <numFmt numFmtId="30" formatCode="@"/>
      <fill>
        <patternFill patternType="none">
          <fgColor indexed="64"/>
          <bgColor auto="1"/>
        </patternFill>
      </fill>
      <alignment horizontal="general" vertical="center" textRotation="0" wrapText="0" indent="0" justifyLastLine="0" shrinkToFit="0" readingOrder="0"/>
      <protection locked="1"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fill>
        <patternFill patternType="none">
          <fgColor indexed="64"/>
          <bgColor auto="1"/>
        </patternFill>
      </fill>
      <protection locked="0"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fill>
        <patternFill patternType="none">
          <fgColor indexed="64"/>
          <bgColor auto="1"/>
        </patternFill>
      </fill>
      <protection locked="0" hidden="0"/>
    </dxf>
    <dxf>
      <alignment horizontal="right" vertical="bottom" textRotation="0" wrapText="0" indent="0" justifyLastLine="0" shrinkToFit="0" readingOrder="0"/>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alignment horizontal="general" vertical="center" textRotation="0" wrapText="0" indent="0" justifyLastLine="0" shrinkToFit="0" readingOrder="0"/>
      <protection locked="0" hidden="0"/>
    </dxf>
    <dxf>
      <alignment horizontal="right" vertical="bottom" textRotation="0" wrapText="0" indent="0" justifyLastLine="0" shrinkToFit="0" readingOrder="0"/>
      <border diagonalUp="0" diagonalDown="0" outline="0">
        <left/>
        <right/>
        <top/>
        <bottom style="thin">
          <color indexed="64"/>
        </bottom>
      </border>
    </dxf>
    <dxf>
      <font>
        <strike val="0"/>
        <outline val="0"/>
        <shadow val="0"/>
        <u val="none"/>
        <vertAlign val="baseline"/>
        <sz val="12"/>
        <color theme="1"/>
        <name val="Calibri"/>
        <family val="2"/>
        <scheme val="minor"/>
      </font>
      <fill>
        <patternFill patternType="none">
          <fgColor indexed="64"/>
          <bgColor auto="1"/>
        </patternFill>
      </fill>
      <alignment horizontal="left" vertical="center" textRotation="0" wrapText="1" indent="1" justifyLastLine="0" shrinkToFit="0" readingOrder="0"/>
      <protection locked="0" hidden="0"/>
    </dxf>
    <dxf>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center" textRotation="0" wrapText="0" indent="0" justifyLastLine="0" shrinkToFit="0" readingOrder="0"/>
    </dxf>
    <dxf>
      <border diagonalUp="0" diagonalDown="0" outline="0">
        <left/>
        <right/>
        <top/>
        <bottom style="thin">
          <color indexed="64"/>
        </bottom>
      </border>
    </dxf>
    <dxf>
      <font>
        <b val="0"/>
        <i val="0"/>
        <strike val="0"/>
        <condense val="0"/>
        <extend val="0"/>
        <outline val="0"/>
        <shadow val="0"/>
        <u val="none"/>
        <vertAlign val="baseline"/>
        <sz val="12"/>
        <color theme="1"/>
        <name val="Calibri"/>
        <family val="2"/>
        <scheme val="minor"/>
      </font>
      <alignment horizontal="center" vertical="bottom" textRotation="0" wrapText="0" indent="0" justifyLastLine="0" shrinkToFit="0" readingOrder="0"/>
      <protection locked="1" hidden="0"/>
    </dxf>
    <dxf>
      <border diagonalUp="0" diagonalDown="0" outline="0">
        <left style="thin">
          <color indexed="64"/>
        </left>
        <right/>
        <top/>
        <bottom style="thin">
          <color indexed="64"/>
        </bottom>
      </border>
    </dxf>
    <dxf>
      <font>
        <strike val="0"/>
        <outline val="0"/>
        <shadow val="0"/>
        <u val="none"/>
        <vertAlign val="baseline"/>
        <sz val="12"/>
        <color theme="1"/>
      </font>
      <numFmt numFmtId="0" formatCode="General"/>
      <fill>
        <patternFill patternType="none">
          <fgColor indexed="64"/>
          <bgColor auto="1"/>
        </patternFill>
      </fill>
      <alignment horizontal="left" vertical="center" textRotation="0" wrapText="0" indent="0" justifyLastLine="0" shrinkToFit="0" readingOrder="0"/>
      <border diagonalUp="0" diagonalDown="0">
        <left style="thin">
          <color indexed="64"/>
        </left>
        <right/>
        <top/>
        <bottom/>
        <vertical/>
        <horizontal/>
      </border>
      <protection locked="1" hidden="0"/>
    </dxf>
    <dxf>
      <border diagonalUp="0" diagonalDown="0">
        <left style="medium">
          <color rgb="FF000000"/>
        </left>
        <right style="medium">
          <color rgb="FF000000"/>
        </right>
        <top style="medium">
          <color rgb="FF000000"/>
        </top>
        <bottom style="medium">
          <color rgb="FF000000"/>
        </bottom>
      </border>
    </dxf>
    <dxf>
      <font>
        <strike val="0"/>
        <outline val="0"/>
        <shadow val="0"/>
        <u val="none"/>
        <vertAlign val="baseline"/>
        <sz val="12"/>
        <color rgb="FF000000"/>
      </font>
      <fill>
        <patternFill patternType="none">
          <fgColor rgb="FF000000"/>
          <bgColor auto="1"/>
        </patternFill>
      </fill>
      <protection locked="0" hidden="0"/>
    </dxf>
    <dxf>
      <font>
        <b/>
        <i val="0"/>
        <strike val="0"/>
        <condense val="0"/>
        <extend val="0"/>
        <outline val="0"/>
        <shadow val="0"/>
        <u val="none"/>
        <vertAlign val="baseline"/>
        <sz val="9"/>
        <color theme="0"/>
        <name val="Calibri"/>
        <family val="2"/>
        <scheme val="minor"/>
      </font>
      <numFmt numFmtId="30" formatCode="@"/>
      <fill>
        <patternFill patternType="solid">
          <fgColor indexed="64"/>
          <bgColor theme="3" tint="-0.499984740745262"/>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color theme="3"/>
      </font>
      <fill>
        <patternFill>
          <bgColor theme="3"/>
        </patternFill>
      </fill>
    </dxf>
  </dxfs>
  <tableStyles count="0" defaultTableStyle="TableStyleMedium9" defaultPivotStyle="PivotStyleLight16"/>
  <colors>
    <mruColors>
      <color rgb="FFFFC01C"/>
      <color rgb="FF93C024"/>
      <color rgb="FFFFFF9B"/>
      <color rgb="FFFFFF4F"/>
      <color rgb="FFFFBDBD"/>
      <color rgb="FFC89800"/>
      <color rgb="FFEBF6F9"/>
      <color rgb="FFC9F1FF"/>
      <color rgb="FFFFFFFF"/>
      <color rgb="FF13343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2.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microsoft.com/office/2007/relationships/slicerCache" Target="slicerCaches/slicerCache1.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microsoft.com/office/2007/relationships/slicerCache" Target="slicerCaches/slicerCache5.xml"/><Relationship Id="rId4" Type="http://schemas.openxmlformats.org/officeDocument/2006/relationships/worksheet" Target="worksheets/sheet4.xml"/><Relationship Id="rId9" Type="http://schemas.microsoft.com/office/2007/relationships/slicerCache" Target="slicerCaches/slicerCache4.xml"/><Relationship Id="rId14"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2471424304817962"/>
          <c:y val="5.0890585241730277E-2"/>
          <c:w val="0.46476076323164955"/>
          <c:h val="0.89821882951653942"/>
        </c:manualLayout>
      </c:layout>
      <c:barChart>
        <c:barDir val="bar"/>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Apoio!$A$22:$A$28</c:f>
              <c:strCache>
                <c:ptCount val="7"/>
                <c:pt idx="0">
                  <c:v>Comercial</c:v>
                </c:pt>
                <c:pt idx="1">
                  <c:v>Financeira</c:v>
                </c:pt>
                <c:pt idx="2">
                  <c:v>Gente &amp; Cultura</c:v>
                </c:pt>
                <c:pt idx="3">
                  <c:v>Governança Corp</c:v>
                </c:pt>
                <c:pt idx="4">
                  <c:v>Marketing</c:v>
                </c:pt>
                <c:pt idx="5">
                  <c:v>Produtos</c:v>
                </c:pt>
                <c:pt idx="6">
                  <c:v>Tecnologia</c:v>
                </c:pt>
              </c:strCache>
            </c:strRef>
          </c:cat>
          <c:val>
            <c:numRef>
              <c:f>Apoio!$B$22:$B$28</c:f>
              <c:numCache>
                <c:formatCode>General</c:formatCode>
                <c:ptCount val="7"/>
                <c:pt idx="0">
                  <c:v>11</c:v>
                </c:pt>
                <c:pt idx="1">
                  <c:v>5</c:v>
                </c:pt>
                <c:pt idx="2">
                  <c:v>6</c:v>
                </c:pt>
                <c:pt idx="3">
                  <c:v>6</c:v>
                </c:pt>
                <c:pt idx="4">
                  <c:v>9</c:v>
                </c:pt>
                <c:pt idx="5">
                  <c:v>3</c:v>
                </c:pt>
                <c:pt idx="6">
                  <c:v>27</c:v>
                </c:pt>
              </c:numCache>
            </c:numRef>
          </c:val>
          <c:extLst>
            <c:ext xmlns:c16="http://schemas.microsoft.com/office/drawing/2014/chart" uri="{C3380CC4-5D6E-409C-BE32-E72D297353CC}">
              <c16:uniqueId val="{00000000-C3DA-41DF-827B-A8BB344F739D}"/>
            </c:ext>
          </c:extLst>
        </c:ser>
        <c:dLbls>
          <c:showLegendKey val="0"/>
          <c:showVal val="0"/>
          <c:showCatName val="0"/>
          <c:showSerName val="0"/>
          <c:showPercent val="0"/>
          <c:showBubbleSize val="0"/>
        </c:dLbls>
        <c:gapWidth val="182"/>
        <c:axId val="1754841583"/>
        <c:axId val="1754843023"/>
      </c:barChart>
      <c:catAx>
        <c:axId val="175484158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1754843023"/>
        <c:crosses val="autoZero"/>
        <c:auto val="1"/>
        <c:lblAlgn val="ctr"/>
        <c:lblOffset val="100"/>
        <c:noMultiLvlLbl val="0"/>
      </c:catAx>
      <c:valAx>
        <c:axId val="1754843023"/>
        <c:scaling>
          <c:orientation val="minMax"/>
        </c:scaling>
        <c:delete val="1"/>
        <c:axPos val="t"/>
        <c:numFmt formatCode="General" sourceLinked="1"/>
        <c:majorTickMark val="none"/>
        <c:minorTickMark val="none"/>
        <c:tickLblPos val="nextTo"/>
        <c:crossAx val="175484158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5491388083007872E-2"/>
          <c:y val="2.1720325238270315E-2"/>
          <c:w val="0.70755478117312109"/>
          <c:h val="1"/>
        </c:manualLayout>
      </c:layout>
      <c:doughnutChart>
        <c:varyColors val="1"/>
        <c:ser>
          <c:idx val="0"/>
          <c:order val="0"/>
          <c:dPt>
            <c:idx val="0"/>
            <c:bubble3D val="0"/>
            <c:spPr>
              <a:solidFill>
                <a:schemeClr val="accent6">
                  <a:lumMod val="50000"/>
                </a:schemeClr>
              </a:solidFill>
              <a:ln w="19050">
                <a:solidFill>
                  <a:schemeClr val="lt1"/>
                </a:solidFill>
              </a:ln>
              <a:effectLst/>
            </c:spPr>
            <c:extLst>
              <c:ext xmlns:c16="http://schemas.microsoft.com/office/drawing/2014/chart" uri="{C3380CC4-5D6E-409C-BE32-E72D297353CC}">
                <c16:uniqueId val="{00000001-F697-4385-8C9F-0E627B58A287}"/>
              </c:ext>
            </c:extLst>
          </c:dPt>
          <c:dPt>
            <c:idx val="1"/>
            <c:bubble3D val="0"/>
            <c:spPr>
              <a:solidFill>
                <a:schemeClr val="accent1">
                  <a:lumMod val="50000"/>
                </a:schemeClr>
              </a:solidFill>
              <a:ln w="19050">
                <a:solidFill>
                  <a:schemeClr val="lt1"/>
                </a:solidFill>
              </a:ln>
              <a:effectLst/>
            </c:spPr>
            <c:extLst>
              <c:ext xmlns:c16="http://schemas.microsoft.com/office/drawing/2014/chart" uri="{C3380CC4-5D6E-409C-BE32-E72D297353CC}">
                <c16:uniqueId val="{00000003-F697-4385-8C9F-0E627B58A287}"/>
              </c:ext>
            </c:extLst>
          </c:dPt>
          <c:dLbls>
            <c:spPr>
              <a:noFill/>
              <a:ln>
                <a:noFill/>
              </a:ln>
              <a:effectLst/>
            </c:spPr>
            <c:txPr>
              <a:bodyPr rot="-5400000" spcFirstLastPara="1" vertOverflow="ellipsis" wrap="square" lIns="38100" tIns="19050" rIns="38100" bIns="19050" anchor="t" anchorCtr="1">
                <a:spAutoFit/>
              </a:bodyPr>
              <a:lstStyle/>
              <a:p>
                <a:pPr>
                  <a:defRPr sz="1800" b="1" i="0" u="none" strike="noStrike" kern="1200" baseline="0">
                    <a:solidFill>
                      <a:schemeClr val="bg1"/>
                    </a:solidFill>
                    <a:latin typeface="+mn-lt"/>
                    <a:ea typeface="+mn-ea"/>
                    <a:cs typeface="+mn-cs"/>
                  </a:defRPr>
                </a:pPr>
                <a:endParaRPr lang="pt-BR"/>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Apoio!$E$22:$E$23</c:f>
              <c:strCache>
                <c:ptCount val="2"/>
                <c:pt idx="0">
                  <c:v>BBF</c:v>
                </c:pt>
                <c:pt idx="1">
                  <c:v>Evolução</c:v>
                </c:pt>
              </c:strCache>
            </c:strRef>
          </c:cat>
          <c:val>
            <c:numRef>
              <c:f>Apoio!$G$22:$G$23</c:f>
              <c:numCache>
                <c:formatCode>0%</c:formatCode>
                <c:ptCount val="2"/>
                <c:pt idx="0">
                  <c:v>0.46268656716417911</c:v>
                </c:pt>
                <c:pt idx="1">
                  <c:v>0.53731343283582089</c:v>
                </c:pt>
              </c:numCache>
            </c:numRef>
          </c:val>
          <c:extLst>
            <c:ext xmlns:c16="http://schemas.microsoft.com/office/drawing/2014/chart" uri="{C3380CC4-5D6E-409C-BE32-E72D297353CC}">
              <c16:uniqueId val="{00000004-F697-4385-8C9F-0E627B58A287}"/>
            </c:ext>
          </c:extLst>
        </c:ser>
        <c:dLbls>
          <c:showLegendKey val="0"/>
          <c:showVal val="0"/>
          <c:showCatName val="0"/>
          <c:showSerName val="0"/>
          <c:showPercent val="0"/>
          <c:showBubbleSize val="0"/>
          <c:showLeaderLines val="1"/>
        </c:dLbls>
        <c:firstSliceAng val="7"/>
        <c:holeSize val="75"/>
      </c:doughnutChart>
      <c:spPr>
        <a:noFill/>
        <a:ln>
          <a:noFill/>
        </a:ln>
        <a:effectLst/>
      </c:spPr>
    </c:plotArea>
    <c:legend>
      <c:legendPos val="r"/>
      <c:layout>
        <c:manualLayout>
          <c:xMode val="edge"/>
          <c:yMode val="edge"/>
          <c:x val="0.22925172983640182"/>
          <c:y val="0.29217039679499701"/>
          <c:w val="0.35289309106733197"/>
          <c:h val="0.38319997982066129"/>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13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2.7064666438641524E-2"/>
          <c:y val="3.0110333741720934E-2"/>
          <c:w val="0.97255330944896512"/>
          <c:h val="0.74327311919083972"/>
        </c:manualLayout>
      </c:layout>
      <c:pie3DChart>
        <c:varyColors val="1"/>
        <c:ser>
          <c:idx val="0"/>
          <c:order val="0"/>
          <c:dPt>
            <c:idx val="0"/>
            <c:bubble3D val="0"/>
            <c:spPr>
              <a:solidFill>
                <a:srgbClr val="FFC01C"/>
              </a:solidFill>
              <a:ln w="25400">
                <a:solidFill>
                  <a:schemeClr val="lt1"/>
                </a:solidFill>
              </a:ln>
              <a:effectLst/>
              <a:sp3d contourW="25400">
                <a:contourClr>
                  <a:schemeClr val="lt1"/>
                </a:contourClr>
              </a:sp3d>
            </c:spPr>
            <c:extLst>
              <c:ext xmlns:c16="http://schemas.microsoft.com/office/drawing/2014/chart" uri="{C3380CC4-5D6E-409C-BE32-E72D297353CC}">
                <c16:uniqueId val="{00000001-BCBB-46DA-9AB7-B18516B173FF}"/>
              </c:ext>
            </c:extLst>
          </c:dPt>
          <c:dPt>
            <c:idx val="1"/>
            <c:bubble3D val="0"/>
            <c:spPr>
              <a:solidFill>
                <a:schemeClr val="bg1">
                  <a:lumMod val="5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2-BCBB-46DA-9AB7-B18516B173FF}"/>
              </c:ext>
            </c:extLst>
          </c:dPt>
          <c:dLbls>
            <c:dLbl>
              <c:idx val="0"/>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BCBB-46DA-9AB7-B18516B173FF}"/>
                </c:ext>
              </c:extLst>
            </c:dLbl>
            <c:dLbl>
              <c:idx val="1"/>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bg1"/>
                      </a:solidFill>
                      <a:latin typeface="+mn-lt"/>
                      <a:ea typeface="+mn-ea"/>
                      <a:cs typeface="+mn-cs"/>
                    </a:defRPr>
                  </a:pPr>
                  <a:endParaRPr lang="pt-BR"/>
                </a:p>
              </c:txPr>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BCBB-46DA-9AB7-B18516B173FF}"/>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'Iniciativas 2026'!$I$1:$I$2</c:f>
              <c:strCache>
                <c:ptCount val="2"/>
                <c:pt idx="0">
                  <c:v>Estratégico</c:v>
                </c:pt>
                <c:pt idx="1">
                  <c:v>Operacional</c:v>
                </c:pt>
              </c:strCache>
            </c:strRef>
          </c:cat>
          <c:val>
            <c:numRef>
              <c:f>'Iniciativas 2026'!$H$1:$H$2</c:f>
              <c:numCache>
                <c:formatCode>General</c:formatCode>
                <c:ptCount val="2"/>
                <c:pt idx="0">
                  <c:v>46</c:v>
                </c:pt>
                <c:pt idx="1">
                  <c:v>21</c:v>
                </c:pt>
              </c:numCache>
            </c:numRef>
          </c:val>
          <c:extLst>
            <c:ext xmlns:c16="http://schemas.microsoft.com/office/drawing/2014/chart" uri="{C3380CC4-5D6E-409C-BE32-E72D297353CC}">
              <c16:uniqueId val="{00000000-BCBB-46DA-9AB7-B18516B173FF}"/>
            </c:ext>
          </c:extLst>
        </c:ser>
        <c:dLbls>
          <c:showLegendKey val="0"/>
          <c:showVal val="0"/>
          <c:showCatName val="0"/>
          <c:showSerName val="0"/>
          <c:showPercent val="0"/>
          <c:showBubbleSize val="0"/>
          <c:showLeaderLines val="1"/>
        </c:dLbls>
      </c:pie3DChart>
      <c:spPr>
        <a:noFill/>
        <a:ln>
          <a:noFill/>
        </a:ln>
        <a:effectLst/>
      </c:spPr>
    </c:plotArea>
    <c:legend>
      <c:legendPos val="b"/>
      <c:layout>
        <c:manualLayout>
          <c:xMode val="edge"/>
          <c:yMode val="edge"/>
          <c:x val="7.137559896557566E-2"/>
          <c:y val="0.80349378667428173"/>
          <c:w val="0.85122531547917779"/>
          <c:h val="0.12338794366093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w="25400">
          <a:noFill/>
        </a:ln>
        <a:effectLst/>
        <a:sp3d/>
      </c:spPr>
    </c:sideWall>
    <c:backWall>
      <c:thickness val="0"/>
      <c:spPr>
        <a:noFill/>
        <a:ln w="25400">
          <a:noFill/>
        </a:ln>
        <a:effectLst/>
        <a:sp3d/>
      </c:spPr>
    </c:backWall>
    <c:plotArea>
      <c:layout>
        <c:manualLayout>
          <c:layoutTarget val="inner"/>
          <c:xMode val="edge"/>
          <c:yMode val="edge"/>
          <c:x val="0.12109423822022247"/>
          <c:y val="0.16169154228855723"/>
          <c:w val="0.83922322209723788"/>
          <c:h val="0.82854232773142167"/>
        </c:manualLayout>
      </c:layout>
      <c:bar3DChart>
        <c:barDir val="bar"/>
        <c:grouping val="clustered"/>
        <c:varyColors val="0"/>
        <c:ser>
          <c:idx val="0"/>
          <c:order val="0"/>
          <c:spPr>
            <a:solidFill>
              <a:schemeClr val="accent1"/>
            </a:solidFill>
            <a:ln>
              <a:noFill/>
            </a:ln>
            <a:effectLst/>
            <a:sp3d/>
          </c:spPr>
          <c:invertIfNegative val="0"/>
          <c:dLbls>
            <c:dLbl>
              <c:idx val="3"/>
              <c:layout>
                <c:manualLayout>
                  <c:x val="3.3059119500962386E-3"/>
                  <c:y val="2.610871776837187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BA71-45DE-B3AE-3D6E4E638A8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Apoio!$A$9:$A$12</c:f>
              <c:strCache>
                <c:ptCount val="4"/>
                <c:pt idx="0">
                  <c:v>Q1</c:v>
                </c:pt>
                <c:pt idx="1">
                  <c:v>Q2</c:v>
                </c:pt>
                <c:pt idx="2">
                  <c:v>Q3</c:v>
                </c:pt>
                <c:pt idx="3">
                  <c:v>Q4</c:v>
                </c:pt>
              </c:strCache>
            </c:strRef>
          </c:cat>
          <c:val>
            <c:numRef>
              <c:f>Apoio!$C$9:$C$12</c:f>
              <c:numCache>
                <c:formatCode>0.0%</c:formatCode>
                <c:ptCount val="4"/>
                <c:pt idx="0">
                  <c:v>0.26865671641791045</c:v>
                </c:pt>
                <c:pt idx="1">
                  <c:v>0.13432835820895522</c:v>
                </c:pt>
                <c:pt idx="2">
                  <c:v>0.17910447761194029</c:v>
                </c:pt>
                <c:pt idx="3">
                  <c:v>0.41791044776119401</c:v>
                </c:pt>
              </c:numCache>
            </c:numRef>
          </c:val>
          <c:extLst>
            <c:ext xmlns:c16="http://schemas.microsoft.com/office/drawing/2014/chart" uri="{C3380CC4-5D6E-409C-BE32-E72D297353CC}">
              <c16:uniqueId val="{00000000-BA71-45DE-B3AE-3D6E4E638A89}"/>
            </c:ext>
          </c:extLst>
        </c:ser>
        <c:dLbls>
          <c:showLegendKey val="0"/>
          <c:showVal val="0"/>
          <c:showCatName val="0"/>
          <c:showSerName val="0"/>
          <c:showPercent val="0"/>
          <c:showBubbleSize val="0"/>
        </c:dLbls>
        <c:gapWidth val="150"/>
        <c:shape val="box"/>
        <c:axId val="371765359"/>
        <c:axId val="371761999"/>
        <c:axId val="0"/>
      </c:bar3DChart>
      <c:catAx>
        <c:axId val="371765359"/>
        <c:scaling>
          <c:orientation val="maxMin"/>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371761999"/>
        <c:crosses val="autoZero"/>
        <c:auto val="1"/>
        <c:lblAlgn val="ctr"/>
        <c:lblOffset val="100"/>
        <c:noMultiLvlLbl val="0"/>
      </c:catAx>
      <c:valAx>
        <c:axId val="371761999"/>
        <c:scaling>
          <c:orientation val="minMax"/>
        </c:scaling>
        <c:delete val="1"/>
        <c:axPos val="t"/>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crossAx val="37176535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7383211694633707E-3"/>
          <c:y val="1.0685657991437432E-2"/>
          <c:w val="0.99032133178474646"/>
          <c:h val="0.98854524627720508"/>
        </c:manualLayout>
      </c:layout>
      <c:scatterChart>
        <c:scatterStyle val="lineMarker"/>
        <c:varyColors val="0"/>
        <c:ser>
          <c:idx val="0"/>
          <c:order val="0"/>
          <c:tx>
            <c:v>Automatização de processo de cobrança via wats</c:v>
          </c:tx>
          <c:xVal>
            <c:numLit>
              <c:formatCode>General</c:formatCode>
              <c:ptCount val="1"/>
              <c:pt idx="0">
                <c:v>10</c:v>
              </c:pt>
            </c:numLit>
          </c:xVal>
          <c:yVal>
            <c:numLit>
              <c:formatCode>General</c:formatCode>
              <c:ptCount val="1"/>
              <c:pt idx="0">
                <c:v>8</c:v>
              </c:pt>
            </c:numLit>
          </c:yVal>
          <c:smooth val="0"/>
          <c:extLst>
            <c:ext xmlns:c16="http://schemas.microsoft.com/office/drawing/2014/chart" uri="{C3380CC4-5D6E-409C-BE32-E72D297353CC}">
              <c16:uniqueId val="{00000036-EBA1-4B25-98C3-A7CE76AB1BD2}"/>
            </c:ext>
          </c:extLst>
        </c:ser>
        <c:ser>
          <c:idx val="1"/>
          <c:order val="1"/>
          <c:tx>
            <c:v>Automatizar todos os processos que estão em planilhas</c:v>
          </c:tx>
          <c:xVal>
            <c:numLit>
              <c:formatCode>General</c:formatCode>
              <c:ptCount val="1"/>
              <c:pt idx="0">
                <c:v>9</c:v>
              </c:pt>
            </c:numLit>
          </c:xVal>
          <c:yVal>
            <c:numLit>
              <c:formatCode>General</c:formatCode>
              <c:ptCount val="1"/>
              <c:pt idx="0">
                <c:v>7</c:v>
              </c:pt>
            </c:numLit>
          </c:yVal>
          <c:smooth val="0"/>
          <c:extLst>
            <c:ext xmlns:c16="http://schemas.microsoft.com/office/drawing/2014/chart" uri="{C3380CC4-5D6E-409C-BE32-E72D297353CC}">
              <c16:uniqueId val="{00000037-EBA1-4B25-98C3-A7CE76AB1BD2}"/>
            </c:ext>
          </c:extLst>
        </c:ser>
        <c:ser>
          <c:idx val="2"/>
          <c:order val="2"/>
          <c:tx>
            <c:v>Centralização de dados de todas as areas e sistemas(Data lake)</c:v>
          </c:tx>
          <c:xVal>
            <c:numLit>
              <c:formatCode>General</c:formatCode>
              <c:ptCount val="1"/>
              <c:pt idx="0">
                <c:v>14</c:v>
              </c:pt>
            </c:numLit>
          </c:xVal>
          <c:yVal>
            <c:numLit>
              <c:formatCode>General</c:formatCode>
              <c:ptCount val="1"/>
              <c:pt idx="0">
                <c:v>14</c:v>
              </c:pt>
            </c:numLit>
          </c:yVal>
          <c:smooth val="0"/>
          <c:extLst>
            <c:ext xmlns:c16="http://schemas.microsoft.com/office/drawing/2014/chart" uri="{C3380CC4-5D6E-409C-BE32-E72D297353CC}">
              <c16:uniqueId val="{00000038-EBA1-4B25-98C3-A7CE76AB1BD2}"/>
            </c:ext>
          </c:extLst>
        </c:ser>
        <c:ser>
          <c:idx val="3"/>
          <c:order val="3"/>
          <c:tx>
            <c:v>Comunidades em camadas</c:v>
          </c:tx>
          <c:xVal>
            <c:numLit>
              <c:formatCode>General</c:formatCode>
              <c:ptCount val="1"/>
              <c:pt idx="0">
                <c:v>17</c:v>
              </c:pt>
            </c:numLit>
          </c:xVal>
          <c:yVal>
            <c:numLit>
              <c:formatCode>General</c:formatCode>
              <c:ptCount val="1"/>
              <c:pt idx="0">
                <c:v>20</c:v>
              </c:pt>
            </c:numLit>
          </c:yVal>
          <c:smooth val="0"/>
          <c:extLst>
            <c:ext xmlns:c16="http://schemas.microsoft.com/office/drawing/2014/chart" uri="{C3380CC4-5D6E-409C-BE32-E72D297353CC}">
              <c16:uniqueId val="{00000039-EBA1-4B25-98C3-A7CE76AB1BD2}"/>
            </c:ext>
          </c:extLst>
        </c:ser>
        <c:ser>
          <c:idx val="4"/>
          <c:order val="4"/>
          <c:tx>
            <c:v>Criar alertas para monitorar a operação</c:v>
          </c:tx>
          <c:xVal>
            <c:numLit>
              <c:formatCode>General</c:formatCode>
              <c:ptCount val="1"/>
              <c:pt idx="0">
                <c:v>12</c:v>
              </c:pt>
            </c:numLit>
          </c:xVal>
          <c:yVal>
            <c:numLit>
              <c:formatCode>General</c:formatCode>
              <c:ptCount val="1"/>
              <c:pt idx="0">
                <c:v>6</c:v>
              </c:pt>
            </c:numLit>
          </c:yVal>
          <c:smooth val="0"/>
          <c:extLst>
            <c:ext xmlns:c16="http://schemas.microsoft.com/office/drawing/2014/chart" uri="{C3380CC4-5D6E-409C-BE32-E72D297353CC}">
              <c16:uniqueId val="{0000003A-EBA1-4B25-98C3-A7CE76AB1BD2}"/>
            </c:ext>
          </c:extLst>
        </c:ser>
        <c:ser>
          <c:idx val="5"/>
          <c:order val="5"/>
          <c:tx>
            <c:v>Criar anúncios mensurando carbono no app</c:v>
          </c:tx>
          <c:xVal>
            <c:numLit>
              <c:formatCode>General</c:formatCode>
              <c:ptCount val="1"/>
              <c:pt idx="0">
                <c:v>8</c:v>
              </c:pt>
            </c:numLit>
          </c:xVal>
          <c:yVal>
            <c:numLit>
              <c:formatCode>General</c:formatCode>
              <c:ptCount val="1"/>
              <c:pt idx="0">
                <c:v>8</c:v>
              </c:pt>
            </c:numLit>
          </c:yVal>
          <c:smooth val="0"/>
          <c:extLst>
            <c:ext xmlns:c16="http://schemas.microsoft.com/office/drawing/2014/chart" uri="{C3380CC4-5D6E-409C-BE32-E72D297353CC}">
              <c16:uniqueId val="{0000003B-EBA1-4B25-98C3-A7CE76AB1BD2}"/>
            </c:ext>
          </c:extLst>
        </c:ser>
        <c:ser>
          <c:idx val="6"/>
          <c:order val="6"/>
          <c:tx>
            <c:v>Criar dataset utilizando nosso data lake para marchine learning (própria)</c:v>
          </c:tx>
          <c:xVal>
            <c:numLit>
              <c:formatCode>General</c:formatCode>
              <c:ptCount val="1"/>
              <c:pt idx="0">
                <c:v>8</c:v>
              </c:pt>
            </c:numLit>
          </c:xVal>
          <c:yVal>
            <c:numLit>
              <c:formatCode>General</c:formatCode>
              <c:ptCount val="1"/>
              <c:pt idx="0">
                <c:v>8</c:v>
              </c:pt>
            </c:numLit>
          </c:yVal>
          <c:smooth val="0"/>
          <c:extLst>
            <c:ext xmlns:c16="http://schemas.microsoft.com/office/drawing/2014/chart" uri="{C3380CC4-5D6E-409C-BE32-E72D297353CC}">
              <c16:uniqueId val="{0000003C-EBA1-4B25-98C3-A7CE76AB1BD2}"/>
            </c:ext>
          </c:extLst>
        </c:ser>
        <c:ser>
          <c:idx val="7"/>
          <c:order val="7"/>
          <c:tx>
            <c:v>Criar news letter</c:v>
          </c:tx>
          <c:xVal>
            <c:numLit>
              <c:formatCode>General</c:formatCode>
              <c:ptCount val="1"/>
              <c:pt idx="0">
                <c:v>9</c:v>
              </c:pt>
            </c:numLit>
          </c:xVal>
          <c:yVal>
            <c:numLit>
              <c:formatCode>General</c:formatCode>
              <c:ptCount val="1"/>
              <c:pt idx="0">
                <c:v>6</c:v>
              </c:pt>
            </c:numLit>
          </c:yVal>
          <c:smooth val="0"/>
          <c:extLst>
            <c:ext xmlns:c16="http://schemas.microsoft.com/office/drawing/2014/chart" uri="{C3380CC4-5D6E-409C-BE32-E72D297353CC}">
              <c16:uniqueId val="{0000003D-EBA1-4B25-98C3-A7CE76AB1BD2}"/>
            </c:ext>
          </c:extLst>
        </c:ser>
        <c:ser>
          <c:idx val="8"/>
          <c:order val="8"/>
          <c:tx>
            <c:v>Criar parcerias com varejistas / distribuidor / fornecedor</c:v>
          </c:tx>
          <c:xVal>
            <c:numLit>
              <c:formatCode>General</c:formatCode>
              <c:ptCount val="1"/>
              <c:pt idx="0">
                <c:v>9</c:v>
              </c:pt>
            </c:numLit>
          </c:xVal>
          <c:yVal>
            <c:numLit>
              <c:formatCode>General</c:formatCode>
              <c:ptCount val="1"/>
              <c:pt idx="0">
                <c:v>12</c:v>
              </c:pt>
            </c:numLit>
          </c:yVal>
          <c:smooth val="0"/>
          <c:extLst>
            <c:ext xmlns:c16="http://schemas.microsoft.com/office/drawing/2014/chart" uri="{C3380CC4-5D6E-409C-BE32-E72D297353CC}">
              <c16:uniqueId val="{0000003E-EBA1-4B25-98C3-A7CE76AB1BD2}"/>
            </c:ext>
          </c:extLst>
        </c:ser>
        <c:ser>
          <c:idx val="9"/>
          <c:order val="9"/>
          <c:tx>
            <c:v>Criar novas dinâmicas de transferência de pontos pelo parceiro (CPF no PDV, leitura de cupom fiscal, entre outros)</c:v>
          </c:tx>
          <c:xVal>
            <c:numLit>
              <c:formatCode>General</c:formatCode>
              <c:ptCount val="1"/>
              <c:pt idx="0">
                <c:v>16</c:v>
              </c:pt>
            </c:numLit>
          </c:xVal>
          <c:yVal>
            <c:numLit>
              <c:formatCode>General</c:formatCode>
              <c:ptCount val="1"/>
              <c:pt idx="0">
                <c:v>11</c:v>
              </c:pt>
            </c:numLit>
          </c:yVal>
          <c:smooth val="0"/>
          <c:extLst>
            <c:ext xmlns:c16="http://schemas.microsoft.com/office/drawing/2014/chart" uri="{C3380CC4-5D6E-409C-BE32-E72D297353CC}">
              <c16:uniqueId val="{0000003F-EBA1-4B25-98C3-A7CE76AB1BD2}"/>
            </c:ext>
          </c:extLst>
        </c:ser>
        <c:ser>
          <c:idx val="10"/>
          <c:order val="10"/>
          <c:tx>
            <c:v>Evoluir a Integração bancária de gateway de pagamento cont de luz</c:v>
          </c:tx>
          <c:xVal>
            <c:numLit>
              <c:formatCode>General</c:formatCode>
              <c:ptCount val="1"/>
              <c:pt idx="0">
                <c:v>18</c:v>
              </c:pt>
            </c:numLit>
          </c:xVal>
          <c:yVal>
            <c:numLit>
              <c:formatCode>General</c:formatCode>
              <c:ptCount val="1"/>
              <c:pt idx="0">
                <c:v>18</c:v>
              </c:pt>
            </c:numLit>
          </c:yVal>
          <c:smooth val="0"/>
          <c:extLst>
            <c:ext xmlns:c16="http://schemas.microsoft.com/office/drawing/2014/chart" uri="{C3380CC4-5D6E-409C-BE32-E72D297353CC}">
              <c16:uniqueId val="{00000040-EBA1-4B25-98C3-A7CE76AB1BD2}"/>
            </c:ext>
          </c:extLst>
        </c:ser>
        <c:ser>
          <c:idx val="11"/>
          <c:order val="11"/>
          <c:tx>
            <c:v>Geração de pontos rastreados Blockchain</c:v>
          </c:tx>
          <c:xVal>
            <c:numLit>
              <c:formatCode>General</c:formatCode>
              <c:ptCount val="1"/>
              <c:pt idx="0">
                <c:v>10</c:v>
              </c:pt>
            </c:numLit>
          </c:xVal>
          <c:yVal>
            <c:numLit>
              <c:formatCode>General</c:formatCode>
              <c:ptCount val="1"/>
              <c:pt idx="0">
                <c:v>16</c:v>
              </c:pt>
            </c:numLit>
          </c:yVal>
          <c:smooth val="0"/>
          <c:extLst>
            <c:ext xmlns:c16="http://schemas.microsoft.com/office/drawing/2014/chart" uri="{C3380CC4-5D6E-409C-BE32-E72D297353CC}">
              <c16:uniqueId val="{00000041-EBA1-4B25-98C3-A7CE76AB1BD2}"/>
            </c:ext>
          </c:extLst>
        </c:ser>
        <c:ser>
          <c:idx val="12"/>
          <c:order val="12"/>
          <c:tx>
            <c:v>Gerar receita marktplace NFTs</c:v>
          </c:tx>
          <c:xVal>
            <c:numLit>
              <c:formatCode>General</c:formatCode>
              <c:ptCount val="1"/>
              <c:pt idx="0">
                <c:v>11</c:v>
              </c:pt>
            </c:numLit>
          </c:xVal>
          <c:yVal>
            <c:numLit>
              <c:formatCode>General</c:formatCode>
              <c:ptCount val="1"/>
              <c:pt idx="0">
                <c:v>12</c:v>
              </c:pt>
            </c:numLit>
          </c:yVal>
          <c:smooth val="0"/>
          <c:extLst>
            <c:ext xmlns:c16="http://schemas.microsoft.com/office/drawing/2014/chart" uri="{C3380CC4-5D6E-409C-BE32-E72D297353CC}">
              <c16:uniqueId val="{00000042-EBA1-4B25-98C3-A7CE76AB1BD2}"/>
            </c:ext>
          </c:extLst>
        </c:ser>
        <c:ser>
          <c:idx val="13"/>
          <c:order val="13"/>
          <c:tx>
            <c:v>Identidade digitais na plataforma</c:v>
          </c:tx>
          <c:xVal>
            <c:numLit>
              <c:formatCode>General</c:formatCode>
              <c:ptCount val="1"/>
              <c:pt idx="0">
                <c:v>12</c:v>
              </c:pt>
            </c:numLit>
          </c:xVal>
          <c:yVal>
            <c:numLit>
              <c:formatCode>General</c:formatCode>
              <c:ptCount val="1"/>
              <c:pt idx="0">
                <c:v>5</c:v>
              </c:pt>
            </c:numLit>
          </c:yVal>
          <c:smooth val="0"/>
          <c:extLst>
            <c:ext xmlns:c16="http://schemas.microsoft.com/office/drawing/2014/chart" uri="{C3380CC4-5D6E-409C-BE32-E72D297353CC}">
              <c16:uniqueId val="{00000043-EBA1-4B25-98C3-A7CE76AB1BD2}"/>
            </c:ext>
          </c:extLst>
        </c:ser>
        <c:ser>
          <c:idx val="14"/>
          <c:order val="14"/>
          <c:tx>
            <c:v>Implantar Boot com IA atendimento integrado com BETA</c:v>
          </c:tx>
          <c:xVal>
            <c:numLit>
              <c:formatCode>General</c:formatCode>
              <c:ptCount val="1"/>
              <c:pt idx="0">
                <c:v>11</c:v>
              </c:pt>
            </c:numLit>
          </c:xVal>
          <c:yVal>
            <c:numLit>
              <c:formatCode>General</c:formatCode>
              <c:ptCount val="1"/>
              <c:pt idx="0">
                <c:v>10</c:v>
              </c:pt>
            </c:numLit>
          </c:yVal>
          <c:smooth val="0"/>
          <c:extLst>
            <c:ext xmlns:c16="http://schemas.microsoft.com/office/drawing/2014/chart" uri="{C3380CC4-5D6E-409C-BE32-E72D297353CC}">
              <c16:uniqueId val="{00000044-EBA1-4B25-98C3-A7CE76AB1BD2}"/>
            </c:ext>
          </c:extLst>
        </c:ser>
        <c:ser>
          <c:idx val="15"/>
          <c:order val="15"/>
          <c:tx>
            <c:v>Implementar Pesquisa de clientes dentro app</c:v>
          </c:tx>
          <c:xVal>
            <c:numLit>
              <c:formatCode>General</c:formatCode>
              <c:ptCount val="1"/>
              <c:pt idx="0">
                <c:v>14</c:v>
              </c:pt>
            </c:numLit>
          </c:xVal>
          <c:yVal>
            <c:numLit>
              <c:formatCode>General</c:formatCode>
              <c:ptCount val="1"/>
              <c:pt idx="0">
                <c:v>12</c:v>
              </c:pt>
            </c:numLit>
          </c:yVal>
          <c:smooth val="0"/>
          <c:extLst>
            <c:ext xmlns:c16="http://schemas.microsoft.com/office/drawing/2014/chart" uri="{C3380CC4-5D6E-409C-BE32-E72D297353CC}">
              <c16:uniqueId val="{00000045-EBA1-4B25-98C3-A7CE76AB1BD2}"/>
            </c:ext>
          </c:extLst>
        </c:ser>
        <c:ser>
          <c:idx val="16"/>
          <c:order val="16"/>
          <c:tx>
            <c:v>Implementar Soul bank </c:v>
          </c:tx>
          <c:xVal>
            <c:numLit>
              <c:formatCode>General</c:formatCode>
              <c:ptCount val="1"/>
              <c:pt idx="0">
                <c:v>10</c:v>
              </c:pt>
            </c:numLit>
          </c:xVal>
          <c:yVal>
            <c:numLit>
              <c:formatCode>General</c:formatCode>
              <c:ptCount val="1"/>
              <c:pt idx="0">
                <c:v>8</c:v>
              </c:pt>
            </c:numLit>
          </c:yVal>
          <c:smooth val="0"/>
          <c:extLst>
            <c:ext xmlns:c16="http://schemas.microsoft.com/office/drawing/2014/chart" uri="{C3380CC4-5D6E-409C-BE32-E72D297353CC}">
              <c16:uniqueId val="{00000046-EBA1-4B25-98C3-A7CE76AB1BD2}"/>
            </c:ext>
          </c:extLst>
        </c:ser>
        <c:ser>
          <c:idx val="17"/>
          <c:order val="17"/>
          <c:tx>
            <c:v>Integração byte dance</c:v>
          </c:tx>
          <c:xVal>
            <c:numLit>
              <c:formatCode>General</c:formatCode>
              <c:ptCount val="1"/>
              <c:pt idx="0">
                <c:v>10</c:v>
              </c:pt>
            </c:numLit>
          </c:xVal>
          <c:yVal>
            <c:numLit>
              <c:formatCode>General</c:formatCode>
              <c:ptCount val="1"/>
              <c:pt idx="0">
                <c:v>16</c:v>
              </c:pt>
            </c:numLit>
          </c:yVal>
          <c:smooth val="0"/>
          <c:extLst>
            <c:ext xmlns:c16="http://schemas.microsoft.com/office/drawing/2014/chart" uri="{C3380CC4-5D6E-409C-BE32-E72D297353CC}">
              <c16:uniqueId val="{00000047-EBA1-4B25-98C3-A7CE76AB1BD2}"/>
            </c:ext>
          </c:extLst>
        </c:ser>
        <c:ser>
          <c:idx val="18"/>
          <c:order val="18"/>
          <c:tx>
            <c:v>Integração Deezer</c:v>
          </c:tx>
          <c:xVal>
            <c:numLit>
              <c:formatCode>General</c:formatCode>
              <c:ptCount val="1"/>
              <c:pt idx="0">
                <c:v>8</c:v>
              </c:pt>
            </c:numLit>
          </c:xVal>
          <c:yVal>
            <c:numLit>
              <c:formatCode>General</c:formatCode>
              <c:ptCount val="1"/>
              <c:pt idx="0">
                <c:v>10</c:v>
              </c:pt>
            </c:numLit>
          </c:yVal>
          <c:smooth val="0"/>
          <c:extLst>
            <c:ext xmlns:c16="http://schemas.microsoft.com/office/drawing/2014/chart" uri="{C3380CC4-5D6E-409C-BE32-E72D297353CC}">
              <c16:uniqueId val="{00000048-EBA1-4B25-98C3-A7CE76AB1BD2}"/>
            </c:ext>
          </c:extLst>
        </c:ser>
        <c:ser>
          <c:idx val="19"/>
          <c:order val="19"/>
          <c:tx>
            <c:v>Integrar sistemas externos com Beta</c:v>
          </c:tx>
          <c:xVal>
            <c:numLit>
              <c:formatCode>General</c:formatCode>
              <c:ptCount val="1"/>
              <c:pt idx="0">
                <c:v>11</c:v>
              </c:pt>
            </c:numLit>
          </c:xVal>
          <c:yVal>
            <c:numLit>
              <c:formatCode>General</c:formatCode>
              <c:ptCount val="1"/>
              <c:pt idx="0">
                <c:v>7</c:v>
              </c:pt>
            </c:numLit>
          </c:yVal>
          <c:smooth val="0"/>
          <c:extLst>
            <c:ext xmlns:c16="http://schemas.microsoft.com/office/drawing/2014/chart" uri="{C3380CC4-5D6E-409C-BE32-E72D297353CC}">
              <c16:uniqueId val="{00000049-EBA1-4B25-98C3-A7CE76AB1BD2}"/>
            </c:ext>
          </c:extLst>
        </c:ser>
        <c:ser>
          <c:idx val="20"/>
          <c:order val="20"/>
          <c:tx>
            <c:v>Melhorar a usabilidade do programa de pontos no app Soul e plataforma de Vales</c:v>
          </c:tx>
          <c:xVal>
            <c:numLit>
              <c:formatCode>General</c:formatCode>
              <c:ptCount val="1"/>
              <c:pt idx="0">
                <c:v>19</c:v>
              </c:pt>
            </c:numLit>
          </c:xVal>
          <c:yVal>
            <c:numLit>
              <c:formatCode>General</c:formatCode>
              <c:ptCount val="1"/>
              <c:pt idx="0">
                <c:v>20</c:v>
              </c:pt>
            </c:numLit>
          </c:yVal>
          <c:smooth val="0"/>
          <c:extLst>
            <c:ext xmlns:c16="http://schemas.microsoft.com/office/drawing/2014/chart" uri="{C3380CC4-5D6E-409C-BE32-E72D297353CC}">
              <c16:uniqueId val="{0000004A-EBA1-4B25-98C3-A7CE76AB1BD2}"/>
            </c:ext>
          </c:extLst>
        </c:ser>
        <c:ser>
          <c:idx val="21"/>
          <c:order val="21"/>
          <c:tx>
            <c:v>Sistema integrado COMPLETO dos pontos ecoa/vales energia (estoque/comercial/faturamento/financeiro/contabil)</c:v>
          </c:tx>
          <c:xVal>
            <c:numLit>
              <c:formatCode>General</c:formatCode>
              <c:ptCount val="1"/>
              <c:pt idx="0">
                <c:v>12</c:v>
              </c:pt>
            </c:numLit>
          </c:xVal>
          <c:yVal>
            <c:numLit>
              <c:formatCode>General</c:formatCode>
              <c:ptCount val="1"/>
              <c:pt idx="0">
                <c:v>15</c:v>
              </c:pt>
            </c:numLit>
          </c:yVal>
          <c:smooth val="0"/>
          <c:extLst>
            <c:ext xmlns:c16="http://schemas.microsoft.com/office/drawing/2014/chart" uri="{C3380CC4-5D6E-409C-BE32-E72D297353CC}">
              <c16:uniqueId val="{0000004B-EBA1-4B25-98C3-A7CE76AB1BD2}"/>
            </c:ext>
          </c:extLst>
        </c:ser>
        <c:ser>
          <c:idx val="22"/>
          <c:order val="22"/>
          <c:tx>
            <c:v>Soul bussiness + compra de pontos via web</c:v>
          </c:tx>
          <c:xVal>
            <c:numLit>
              <c:formatCode>General</c:formatCode>
              <c:ptCount val="1"/>
              <c:pt idx="0">
                <c:v>16</c:v>
              </c:pt>
            </c:numLit>
          </c:xVal>
          <c:yVal>
            <c:numLit>
              <c:formatCode>General</c:formatCode>
              <c:ptCount val="1"/>
              <c:pt idx="0">
                <c:v>19</c:v>
              </c:pt>
            </c:numLit>
          </c:yVal>
          <c:smooth val="0"/>
          <c:extLst>
            <c:ext xmlns:c16="http://schemas.microsoft.com/office/drawing/2014/chart" uri="{C3380CC4-5D6E-409C-BE32-E72D297353CC}">
              <c16:uniqueId val="{0000004C-EBA1-4B25-98C3-A7CE76AB1BD2}"/>
            </c:ext>
          </c:extLst>
        </c:ser>
        <c:ser>
          <c:idx val="23"/>
          <c:order val="23"/>
          <c:tx>
            <c:v>Taguear o App</c:v>
          </c:tx>
          <c:xVal>
            <c:numLit>
              <c:formatCode>General</c:formatCode>
              <c:ptCount val="1"/>
              <c:pt idx="0">
                <c:v>10</c:v>
              </c:pt>
            </c:numLit>
          </c:xVal>
          <c:yVal>
            <c:numLit>
              <c:formatCode>General</c:formatCode>
              <c:ptCount val="1"/>
              <c:pt idx="0">
                <c:v>20</c:v>
              </c:pt>
            </c:numLit>
          </c:yVal>
          <c:smooth val="0"/>
          <c:extLst>
            <c:ext xmlns:c16="http://schemas.microsoft.com/office/drawing/2014/chart" uri="{C3380CC4-5D6E-409C-BE32-E72D297353CC}">
              <c16:uniqueId val="{0000004D-EBA1-4B25-98C3-A7CE76AB1BD2}"/>
            </c:ext>
          </c:extLst>
        </c:ser>
        <c:ser>
          <c:idx val="24"/>
          <c:order val="24"/>
          <c:tx>
            <c:v>Ter um painel de visibilidade do fluxo do processo jurídico</c:v>
          </c:tx>
          <c:xVal>
            <c:numLit>
              <c:formatCode>General</c:formatCode>
              <c:ptCount val="1"/>
              <c:pt idx="0">
                <c:v>7</c:v>
              </c:pt>
            </c:numLit>
          </c:xVal>
          <c:yVal>
            <c:numLit>
              <c:formatCode>General</c:formatCode>
              <c:ptCount val="1"/>
              <c:pt idx="0">
                <c:v>4</c:v>
              </c:pt>
            </c:numLit>
          </c:yVal>
          <c:smooth val="0"/>
          <c:extLst>
            <c:ext xmlns:c16="http://schemas.microsoft.com/office/drawing/2014/chart" uri="{C3380CC4-5D6E-409C-BE32-E72D297353CC}">
              <c16:uniqueId val="{0000004E-EBA1-4B25-98C3-A7CE76AB1BD2}"/>
            </c:ext>
          </c:extLst>
        </c:ser>
        <c:ser>
          <c:idx val="25"/>
          <c:order val="25"/>
          <c:tx>
            <c:v>Transferencia de pontos via wallet</c:v>
          </c:tx>
          <c:xVal>
            <c:numLit>
              <c:formatCode>General</c:formatCode>
              <c:ptCount val="1"/>
              <c:pt idx="0">
                <c:v>11</c:v>
              </c:pt>
            </c:numLit>
          </c:xVal>
          <c:yVal>
            <c:numLit>
              <c:formatCode>General</c:formatCode>
              <c:ptCount val="1"/>
              <c:pt idx="0">
                <c:v>13</c:v>
              </c:pt>
            </c:numLit>
          </c:yVal>
          <c:smooth val="0"/>
          <c:extLst>
            <c:ext xmlns:c16="http://schemas.microsoft.com/office/drawing/2014/chart" uri="{C3380CC4-5D6E-409C-BE32-E72D297353CC}">
              <c16:uniqueId val="{0000004F-EBA1-4B25-98C3-A7CE76AB1BD2}"/>
            </c:ext>
          </c:extLst>
        </c:ser>
        <c:ser>
          <c:idx val="26"/>
          <c:order val="26"/>
          <c:tx>
            <c:v>Validação financeira em IA para orçamento</c:v>
          </c:tx>
          <c:xVal>
            <c:numLit>
              <c:formatCode>General</c:formatCode>
              <c:ptCount val="1"/>
              <c:pt idx="0">
                <c:v>3</c:v>
              </c:pt>
            </c:numLit>
          </c:xVal>
          <c:yVal>
            <c:numLit>
              <c:formatCode>General</c:formatCode>
              <c:ptCount val="1"/>
              <c:pt idx="0">
                <c:v>5</c:v>
              </c:pt>
            </c:numLit>
          </c:yVal>
          <c:smooth val="0"/>
          <c:extLst>
            <c:ext xmlns:c16="http://schemas.microsoft.com/office/drawing/2014/chart" uri="{C3380CC4-5D6E-409C-BE32-E72D297353CC}">
              <c16:uniqueId val="{00000050-EBA1-4B25-98C3-A7CE76AB1BD2}"/>
            </c:ext>
          </c:extLst>
        </c:ser>
        <c:ser>
          <c:idx val="27"/>
          <c:order val="27"/>
          <c:tx>
            <c:v>Criar integração com jogos e missões diárias no App</c:v>
          </c:tx>
          <c:xVal>
            <c:numLit>
              <c:formatCode>General</c:formatCode>
              <c:ptCount val="1"/>
              <c:pt idx="0">
                <c:v>10</c:v>
              </c:pt>
            </c:numLit>
          </c:xVal>
          <c:yVal>
            <c:numLit>
              <c:formatCode>General</c:formatCode>
              <c:ptCount val="1"/>
              <c:pt idx="0">
                <c:v>14</c:v>
              </c:pt>
            </c:numLit>
          </c:yVal>
          <c:smooth val="0"/>
          <c:extLst>
            <c:ext xmlns:c16="http://schemas.microsoft.com/office/drawing/2014/chart" uri="{C3380CC4-5D6E-409C-BE32-E72D297353CC}">
              <c16:uniqueId val="{00000051-EBA1-4B25-98C3-A7CE76AB1BD2}"/>
            </c:ext>
          </c:extLst>
        </c:ser>
        <c:ser>
          <c:idx val="28"/>
          <c:order val="28"/>
          <c:tx>
            <c:v>Criar jornada de coalizão entre os produtos: EV, Pontos Ecoa e Soul Up</c:v>
          </c:tx>
          <c:xVal>
            <c:numLit>
              <c:formatCode>General</c:formatCode>
              <c:ptCount val="1"/>
              <c:pt idx="0">
                <c:v>11</c:v>
              </c:pt>
            </c:numLit>
          </c:xVal>
          <c:yVal>
            <c:numLit>
              <c:formatCode>General</c:formatCode>
              <c:ptCount val="1"/>
              <c:pt idx="0">
                <c:v>16</c:v>
              </c:pt>
            </c:numLit>
          </c:yVal>
          <c:smooth val="0"/>
          <c:extLst>
            <c:ext xmlns:c16="http://schemas.microsoft.com/office/drawing/2014/chart" uri="{C3380CC4-5D6E-409C-BE32-E72D297353CC}">
              <c16:uniqueId val="{00000052-EBA1-4B25-98C3-A7CE76AB1BD2}"/>
            </c:ext>
          </c:extLst>
        </c:ser>
        <c:ser>
          <c:idx val="29"/>
          <c:order val="29"/>
          <c:tx>
            <c:v>Criar novas linhas de receita (compra de pontos, assinatura mensal)</c:v>
          </c:tx>
          <c:xVal>
            <c:numLit>
              <c:formatCode>General</c:formatCode>
              <c:ptCount val="1"/>
              <c:pt idx="0">
                <c:v>9</c:v>
              </c:pt>
            </c:numLit>
          </c:xVal>
          <c:yVal>
            <c:numLit>
              <c:formatCode>General</c:formatCode>
              <c:ptCount val="1"/>
              <c:pt idx="0">
                <c:v>12</c:v>
              </c:pt>
            </c:numLit>
          </c:yVal>
          <c:smooth val="0"/>
          <c:extLst>
            <c:ext xmlns:c16="http://schemas.microsoft.com/office/drawing/2014/chart" uri="{C3380CC4-5D6E-409C-BE32-E72D297353CC}">
              <c16:uniqueId val="{00000053-EBA1-4B25-98C3-A7CE76AB1BD2}"/>
            </c:ext>
          </c:extLst>
        </c:ser>
        <c:ser>
          <c:idx val="30"/>
          <c:order val="30"/>
          <c:tx>
            <c:v>Bugdet de marketing anual para ações e campanhas</c:v>
          </c:tx>
          <c:xVal>
            <c:numLit>
              <c:formatCode>General</c:formatCode>
              <c:ptCount val="1"/>
              <c:pt idx="0">
                <c:v>20</c:v>
              </c:pt>
            </c:numLit>
          </c:xVal>
          <c:yVal>
            <c:numLit>
              <c:formatCode>General</c:formatCode>
              <c:ptCount val="1"/>
              <c:pt idx="0">
                <c:v>14</c:v>
              </c:pt>
            </c:numLit>
          </c:yVal>
          <c:smooth val="0"/>
          <c:extLst>
            <c:ext xmlns:c16="http://schemas.microsoft.com/office/drawing/2014/chart" uri="{C3380CC4-5D6E-409C-BE32-E72D297353CC}">
              <c16:uniqueId val="{00000054-EBA1-4B25-98C3-A7CE76AB1BD2}"/>
            </c:ext>
          </c:extLst>
        </c:ser>
        <c:ser>
          <c:idx val="31"/>
          <c:order val="31"/>
          <c:tx>
            <c:v>Embaixador da marca Energia Verde</c:v>
          </c:tx>
          <c:xVal>
            <c:numLit>
              <c:formatCode>General</c:formatCode>
              <c:ptCount val="1"/>
              <c:pt idx="0">
                <c:v>5</c:v>
              </c:pt>
            </c:numLit>
          </c:xVal>
          <c:yVal>
            <c:numLit>
              <c:formatCode>General</c:formatCode>
              <c:ptCount val="1"/>
              <c:pt idx="0">
                <c:v>8</c:v>
              </c:pt>
            </c:numLit>
          </c:yVal>
          <c:smooth val="0"/>
          <c:extLst>
            <c:ext xmlns:c16="http://schemas.microsoft.com/office/drawing/2014/chart" uri="{C3380CC4-5D6E-409C-BE32-E72D297353CC}">
              <c16:uniqueId val="{00000055-EBA1-4B25-98C3-A7CE76AB1BD2}"/>
            </c:ext>
          </c:extLst>
        </c:ser>
        <c:ser>
          <c:idx val="32"/>
          <c:order val="32"/>
          <c:tx>
            <c:v>Investimento em patrocínios e TV aberta</c:v>
          </c:tx>
          <c:xVal>
            <c:numLit>
              <c:formatCode>General</c:formatCode>
              <c:ptCount val="1"/>
              <c:pt idx="0">
                <c:v>10</c:v>
              </c:pt>
            </c:numLit>
          </c:xVal>
          <c:yVal>
            <c:numLit>
              <c:formatCode>General</c:formatCode>
              <c:ptCount val="1"/>
              <c:pt idx="0">
                <c:v>6</c:v>
              </c:pt>
            </c:numLit>
          </c:yVal>
          <c:smooth val="0"/>
          <c:extLst>
            <c:ext xmlns:c16="http://schemas.microsoft.com/office/drawing/2014/chart" uri="{C3380CC4-5D6E-409C-BE32-E72D297353CC}">
              <c16:uniqueId val="{00000056-EBA1-4B25-98C3-A7CE76AB1BD2}"/>
            </c:ext>
          </c:extLst>
        </c:ser>
        <c:ser>
          <c:idx val="33"/>
          <c:order val="33"/>
          <c:tx>
            <c:v>Restruturar todos os canais digitais de cada produto</c:v>
          </c:tx>
          <c:xVal>
            <c:numLit>
              <c:formatCode>General</c:formatCode>
              <c:ptCount val="1"/>
              <c:pt idx="0">
                <c:v>20</c:v>
              </c:pt>
            </c:numLit>
          </c:xVal>
          <c:yVal>
            <c:numLit>
              <c:formatCode>General</c:formatCode>
              <c:ptCount val="1"/>
              <c:pt idx="0">
                <c:v>12</c:v>
              </c:pt>
            </c:numLit>
          </c:yVal>
          <c:smooth val="0"/>
          <c:extLst>
            <c:ext xmlns:c16="http://schemas.microsoft.com/office/drawing/2014/chart" uri="{C3380CC4-5D6E-409C-BE32-E72D297353CC}">
              <c16:uniqueId val="{00000057-EBA1-4B25-98C3-A7CE76AB1BD2}"/>
            </c:ext>
          </c:extLst>
        </c:ser>
        <c:ser>
          <c:idx val="34"/>
          <c:order val="34"/>
          <c:tx>
            <c:v>Criar gestão a vista da Estratégia da Prospera para os acionistas e investidores</c:v>
          </c:tx>
          <c:xVal>
            <c:numLit>
              <c:formatCode>General</c:formatCode>
              <c:ptCount val="1"/>
              <c:pt idx="0">
                <c:v>9</c:v>
              </c:pt>
            </c:numLit>
          </c:xVal>
          <c:yVal>
            <c:numLit>
              <c:formatCode>General</c:formatCode>
              <c:ptCount val="1"/>
              <c:pt idx="0">
                <c:v>16</c:v>
              </c:pt>
            </c:numLit>
          </c:yVal>
          <c:smooth val="0"/>
          <c:extLst>
            <c:ext xmlns:c16="http://schemas.microsoft.com/office/drawing/2014/chart" uri="{C3380CC4-5D6E-409C-BE32-E72D297353CC}">
              <c16:uniqueId val="{00000058-EBA1-4B25-98C3-A7CE76AB1BD2}"/>
            </c:ext>
          </c:extLst>
        </c:ser>
        <c:ser>
          <c:idx val="35"/>
          <c:order val="35"/>
          <c:tx>
            <c:v>Focar no plano de captação financeira para Prospera</c:v>
          </c:tx>
          <c:xVal>
            <c:numLit>
              <c:formatCode>General</c:formatCode>
              <c:ptCount val="1"/>
              <c:pt idx="0">
                <c:v>8</c:v>
              </c:pt>
            </c:numLit>
          </c:xVal>
          <c:yVal>
            <c:numLit>
              <c:formatCode>General</c:formatCode>
              <c:ptCount val="1"/>
              <c:pt idx="0">
                <c:v>20</c:v>
              </c:pt>
            </c:numLit>
          </c:yVal>
          <c:smooth val="0"/>
          <c:extLst>
            <c:ext xmlns:c16="http://schemas.microsoft.com/office/drawing/2014/chart" uri="{C3380CC4-5D6E-409C-BE32-E72D297353CC}">
              <c16:uniqueId val="{00000059-EBA1-4B25-98C3-A7CE76AB1BD2}"/>
            </c:ext>
          </c:extLst>
        </c:ser>
        <c:ser>
          <c:idx val="36"/>
          <c:order val="36"/>
          <c:tx>
            <c:v>Desenvolver um  módulo de DRE por cliente</c:v>
          </c:tx>
          <c:xVal>
            <c:numLit>
              <c:formatCode>General</c:formatCode>
              <c:ptCount val="1"/>
              <c:pt idx="0">
                <c:v>3</c:v>
              </c:pt>
            </c:numLit>
          </c:xVal>
          <c:yVal>
            <c:numLit>
              <c:formatCode>General</c:formatCode>
              <c:ptCount val="1"/>
              <c:pt idx="0">
                <c:v>18</c:v>
              </c:pt>
            </c:numLit>
          </c:yVal>
          <c:smooth val="0"/>
          <c:extLst>
            <c:ext xmlns:c16="http://schemas.microsoft.com/office/drawing/2014/chart" uri="{C3380CC4-5D6E-409C-BE32-E72D297353CC}">
              <c16:uniqueId val="{0000005A-EBA1-4B25-98C3-A7CE76AB1BD2}"/>
            </c:ext>
          </c:extLst>
        </c:ser>
        <c:ser>
          <c:idx val="37"/>
          <c:order val="37"/>
          <c:tx>
            <c:v>Criar o dia da prosperidade - Trabalho comunitário (melhora visibilidade) - todo dia 01/10</c:v>
          </c:tx>
          <c:xVal>
            <c:numLit>
              <c:formatCode>General</c:formatCode>
              <c:ptCount val="1"/>
              <c:pt idx="0">
                <c:v>2</c:v>
              </c:pt>
            </c:numLit>
          </c:xVal>
          <c:yVal>
            <c:numLit>
              <c:formatCode>General</c:formatCode>
              <c:ptCount val="1"/>
              <c:pt idx="0">
                <c:v>3</c:v>
              </c:pt>
            </c:numLit>
          </c:yVal>
          <c:smooth val="0"/>
          <c:extLst>
            <c:ext xmlns:c16="http://schemas.microsoft.com/office/drawing/2014/chart" uri="{C3380CC4-5D6E-409C-BE32-E72D297353CC}">
              <c16:uniqueId val="{0000005B-EBA1-4B25-98C3-A7CE76AB1BD2}"/>
            </c:ext>
          </c:extLst>
        </c:ser>
        <c:ser>
          <c:idx val="38"/>
          <c:order val="38"/>
          <c:tx>
            <c:v>Criar recorrência mensal de capacitação dos colaboradores com foco nos produtos</c:v>
          </c:tx>
          <c:xVal>
            <c:numLit>
              <c:formatCode>General</c:formatCode>
              <c:ptCount val="1"/>
              <c:pt idx="0">
                <c:v>12</c:v>
              </c:pt>
            </c:numLit>
          </c:xVal>
          <c:yVal>
            <c:numLit>
              <c:formatCode>General</c:formatCode>
              <c:ptCount val="1"/>
              <c:pt idx="0">
                <c:v>2</c:v>
              </c:pt>
            </c:numLit>
          </c:yVal>
          <c:smooth val="0"/>
          <c:extLst>
            <c:ext xmlns:c16="http://schemas.microsoft.com/office/drawing/2014/chart" uri="{C3380CC4-5D6E-409C-BE32-E72D297353CC}">
              <c16:uniqueId val="{0000005C-EBA1-4B25-98C3-A7CE76AB1BD2}"/>
            </c:ext>
          </c:extLst>
        </c:ser>
        <c:ser>
          <c:idx val="39"/>
          <c:order val="39"/>
          <c:tx>
            <c:v>Cross areas</c:v>
          </c:tx>
          <c:xVal>
            <c:numLit>
              <c:formatCode>General</c:formatCode>
              <c:ptCount val="1"/>
              <c:pt idx="0">
                <c:v>3</c:v>
              </c:pt>
            </c:numLit>
          </c:xVal>
          <c:yVal>
            <c:numLit>
              <c:formatCode>General</c:formatCode>
              <c:ptCount val="1"/>
              <c:pt idx="0">
                <c:v>2</c:v>
              </c:pt>
            </c:numLit>
          </c:yVal>
          <c:smooth val="0"/>
          <c:extLst>
            <c:ext xmlns:c16="http://schemas.microsoft.com/office/drawing/2014/chart" uri="{C3380CC4-5D6E-409C-BE32-E72D297353CC}">
              <c16:uniqueId val="{0000005D-EBA1-4B25-98C3-A7CE76AB1BD2}"/>
            </c:ext>
          </c:extLst>
        </c:ser>
        <c:ser>
          <c:idx val="40"/>
          <c:order val="40"/>
          <c:tx>
            <c:v>Implantar politica de one a one de avaliação</c:v>
          </c:tx>
          <c:xVal>
            <c:numLit>
              <c:formatCode>General</c:formatCode>
              <c:ptCount val="1"/>
              <c:pt idx="0">
                <c:v>3</c:v>
              </c:pt>
            </c:numLit>
          </c:xVal>
          <c:yVal>
            <c:numLit>
              <c:formatCode>General</c:formatCode>
              <c:ptCount val="1"/>
              <c:pt idx="0">
                <c:v>2</c:v>
              </c:pt>
            </c:numLit>
          </c:yVal>
          <c:smooth val="0"/>
          <c:extLst>
            <c:ext xmlns:c16="http://schemas.microsoft.com/office/drawing/2014/chart" uri="{C3380CC4-5D6E-409C-BE32-E72D297353CC}">
              <c16:uniqueId val="{0000005E-EBA1-4B25-98C3-A7CE76AB1BD2}"/>
            </c:ext>
          </c:extLst>
        </c:ser>
        <c:ser>
          <c:idx val="41"/>
          <c:order val="41"/>
          <c:tx>
            <c:v>Ajustar o processo de iniciativas, planejamento, melhorias e entrega de demandas ponderado pelos Drivers Estratégicos</c:v>
          </c:tx>
          <c:xVal>
            <c:numLit>
              <c:formatCode>General</c:formatCode>
              <c:ptCount val="1"/>
              <c:pt idx="0">
                <c:v>12</c:v>
              </c:pt>
            </c:numLit>
          </c:xVal>
          <c:yVal>
            <c:numLit>
              <c:formatCode>General</c:formatCode>
              <c:ptCount val="1"/>
              <c:pt idx="0">
                <c:v>4</c:v>
              </c:pt>
            </c:numLit>
          </c:yVal>
          <c:smooth val="0"/>
          <c:extLst>
            <c:ext xmlns:c16="http://schemas.microsoft.com/office/drawing/2014/chart" uri="{C3380CC4-5D6E-409C-BE32-E72D297353CC}">
              <c16:uniqueId val="{0000005F-EBA1-4B25-98C3-A7CE76AB1BD2}"/>
            </c:ext>
          </c:extLst>
        </c:ser>
        <c:ser>
          <c:idx val="42"/>
          <c:order val="42"/>
          <c:tx>
            <c:v>Gestão a vista: Montar um dash com uma visão dos drivers e projetos para todos acompanharem</c:v>
          </c:tx>
          <c:xVal>
            <c:numLit>
              <c:formatCode>General</c:formatCode>
              <c:ptCount val="1"/>
              <c:pt idx="0">
                <c:v>12</c:v>
              </c:pt>
            </c:numLit>
          </c:xVal>
          <c:yVal>
            <c:numLit>
              <c:formatCode>General</c:formatCode>
              <c:ptCount val="1"/>
              <c:pt idx="0">
                <c:v>11</c:v>
              </c:pt>
            </c:numLit>
          </c:yVal>
          <c:smooth val="0"/>
          <c:extLst>
            <c:ext xmlns:c16="http://schemas.microsoft.com/office/drawing/2014/chart" uri="{C3380CC4-5D6E-409C-BE32-E72D297353CC}">
              <c16:uniqueId val="{00000060-EBA1-4B25-98C3-A7CE76AB1BD2}"/>
            </c:ext>
          </c:extLst>
        </c:ser>
        <c:ser>
          <c:idx val="43"/>
          <c:order val="43"/>
          <c:tx>
            <c:v>Desenvolver o relatório de conciliação financeira por usina</c:v>
          </c:tx>
          <c:xVal>
            <c:numLit>
              <c:formatCode>General</c:formatCode>
              <c:ptCount val="1"/>
              <c:pt idx="0">
                <c:v>13</c:v>
              </c:pt>
            </c:numLit>
          </c:xVal>
          <c:yVal>
            <c:numLit>
              <c:formatCode>General</c:formatCode>
              <c:ptCount val="1"/>
              <c:pt idx="0">
                <c:v>9</c:v>
              </c:pt>
            </c:numLit>
          </c:yVal>
          <c:smooth val="0"/>
          <c:extLst>
            <c:ext xmlns:c16="http://schemas.microsoft.com/office/drawing/2014/chart" uri="{C3380CC4-5D6E-409C-BE32-E72D297353CC}">
              <c16:uniqueId val="{00000061-EBA1-4B25-98C3-A7CE76AB1BD2}"/>
            </c:ext>
          </c:extLst>
        </c:ser>
        <c:ser>
          <c:idx val="44"/>
          <c:order val="44"/>
          <c:tx>
            <c:v>Unificar o pagamento da conta de luz dos clientes com a fatura da energia verde, com pontos ecoa.</c:v>
          </c:tx>
          <c:xVal>
            <c:numLit>
              <c:formatCode>General</c:formatCode>
              <c:ptCount val="1"/>
              <c:pt idx="0">
                <c:v>15</c:v>
              </c:pt>
            </c:numLit>
          </c:xVal>
          <c:yVal>
            <c:numLit>
              <c:formatCode>General</c:formatCode>
              <c:ptCount val="1"/>
              <c:pt idx="0">
                <c:v>16</c:v>
              </c:pt>
            </c:numLit>
          </c:yVal>
          <c:smooth val="0"/>
          <c:extLst>
            <c:ext xmlns:c16="http://schemas.microsoft.com/office/drawing/2014/chart" uri="{C3380CC4-5D6E-409C-BE32-E72D297353CC}">
              <c16:uniqueId val="{00000062-EBA1-4B25-98C3-A7CE76AB1BD2}"/>
            </c:ext>
          </c:extLst>
        </c:ser>
        <c:ser>
          <c:idx val="45"/>
          <c:order val="45"/>
          <c:tx>
            <c:v>Garantir que grandes contratos ajudem na comercialização de energia verda </c:v>
          </c:tx>
          <c:xVal>
            <c:numLit>
              <c:formatCode>General</c:formatCode>
              <c:ptCount val="1"/>
              <c:pt idx="0">
                <c:v>14</c:v>
              </c:pt>
            </c:numLit>
          </c:xVal>
          <c:yVal>
            <c:numLit>
              <c:formatCode>General</c:formatCode>
              <c:ptCount val="1"/>
              <c:pt idx="0">
                <c:v>14</c:v>
              </c:pt>
            </c:numLit>
          </c:yVal>
          <c:smooth val="0"/>
          <c:extLst>
            <c:ext xmlns:c16="http://schemas.microsoft.com/office/drawing/2014/chart" uri="{C3380CC4-5D6E-409C-BE32-E72D297353CC}">
              <c16:uniqueId val="{00000063-EBA1-4B25-98C3-A7CE76AB1BD2}"/>
            </c:ext>
          </c:extLst>
        </c:ser>
        <c:ser>
          <c:idx val="46"/>
          <c:order val="46"/>
          <c:tx>
            <c:v>Buscar cliente de forma ativa através de CS</c:v>
          </c:tx>
          <c:xVal>
            <c:numLit>
              <c:formatCode>General</c:formatCode>
              <c:ptCount val="1"/>
              <c:pt idx="0">
                <c:v>12</c:v>
              </c:pt>
            </c:numLit>
          </c:xVal>
          <c:yVal>
            <c:numLit>
              <c:formatCode>General</c:formatCode>
              <c:ptCount val="1"/>
              <c:pt idx="0">
                <c:v>12</c:v>
              </c:pt>
            </c:numLit>
          </c:yVal>
          <c:smooth val="0"/>
          <c:extLst>
            <c:ext xmlns:c16="http://schemas.microsoft.com/office/drawing/2014/chart" uri="{C3380CC4-5D6E-409C-BE32-E72D297353CC}">
              <c16:uniqueId val="{00000064-EBA1-4B25-98C3-A7CE76AB1BD2}"/>
            </c:ext>
          </c:extLst>
        </c:ser>
        <c:ser>
          <c:idx val="47"/>
          <c:order val="47"/>
          <c:tx>
            <c:v>Melhorar atendimento no pós venda </c:v>
          </c:tx>
          <c:xVal>
            <c:numLit>
              <c:formatCode>General</c:formatCode>
              <c:ptCount val="1"/>
              <c:pt idx="0">
                <c:v>8</c:v>
              </c:pt>
            </c:numLit>
          </c:xVal>
          <c:yVal>
            <c:numLit>
              <c:formatCode>General</c:formatCode>
              <c:ptCount val="1"/>
              <c:pt idx="0">
                <c:v>12</c:v>
              </c:pt>
            </c:numLit>
          </c:yVal>
          <c:smooth val="0"/>
          <c:extLst>
            <c:ext xmlns:c16="http://schemas.microsoft.com/office/drawing/2014/chart" uri="{C3380CC4-5D6E-409C-BE32-E72D297353CC}">
              <c16:uniqueId val="{00000065-EBA1-4B25-98C3-A7CE76AB1BD2}"/>
            </c:ext>
          </c:extLst>
        </c:ser>
        <c:ser>
          <c:idx val="48"/>
          <c:order val="48"/>
          <c:tx>
            <c:v>Aumentar a quantidade de RCA´s para trazer mais capilaridade às vendas</c:v>
          </c:tx>
          <c:xVal>
            <c:numLit>
              <c:formatCode>General</c:formatCode>
              <c:ptCount val="1"/>
              <c:pt idx="0">
                <c:v>11</c:v>
              </c:pt>
            </c:numLit>
          </c:xVal>
          <c:yVal>
            <c:numLit>
              <c:formatCode>General</c:formatCode>
              <c:ptCount val="1"/>
              <c:pt idx="0">
                <c:v>14</c:v>
              </c:pt>
            </c:numLit>
          </c:yVal>
          <c:smooth val="0"/>
          <c:extLst>
            <c:ext xmlns:c16="http://schemas.microsoft.com/office/drawing/2014/chart" uri="{C3380CC4-5D6E-409C-BE32-E72D297353CC}">
              <c16:uniqueId val="{00000066-EBA1-4B25-98C3-A7CE76AB1BD2}"/>
            </c:ext>
          </c:extLst>
        </c:ser>
        <c:ser>
          <c:idx val="49"/>
          <c:order val="49"/>
          <c:tx>
            <c:v>Aumento da força de venda inside sales</c:v>
          </c:tx>
          <c:xVal>
            <c:numLit>
              <c:formatCode>General</c:formatCode>
              <c:ptCount val="1"/>
              <c:pt idx="0">
                <c:v>6</c:v>
              </c:pt>
            </c:numLit>
          </c:xVal>
          <c:yVal>
            <c:numLit>
              <c:formatCode>General</c:formatCode>
              <c:ptCount val="1"/>
              <c:pt idx="0">
                <c:v>8</c:v>
              </c:pt>
            </c:numLit>
          </c:yVal>
          <c:smooth val="0"/>
          <c:extLst>
            <c:ext xmlns:c16="http://schemas.microsoft.com/office/drawing/2014/chart" uri="{C3380CC4-5D6E-409C-BE32-E72D297353CC}">
              <c16:uniqueId val="{00000067-EBA1-4B25-98C3-A7CE76AB1BD2}"/>
            </c:ext>
          </c:extLst>
        </c:ser>
        <c:ser>
          <c:idx val="50"/>
          <c:order val="50"/>
          <c:tx>
            <c:v>Criar time de retenção</c:v>
          </c:tx>
          <c:xVal>
            <c:numLit>
              <c:formatCode>General</c:formatCode>
              <c:ptCount val="1"/>
              <c:pt idx="0">
                <c:v>3</c:v>
              </c:pt>
            </c:numLit>
          </c:xVal>
          <c:yVal>
            <c:numLit>
              <c:formatCode>General</c:formatCode>
              <c:ptCount val="1"/>
              <c:pt idx="0">
                <c:v>10</c:v>
              </c:pt>
            </c:numLit>
          </c:yVal>
          <c:smooth val="0"/>
          <c:extLst>
            <c:ext xmlns:c16="http://schemas.microsoft.com/office/drawing/2014/chart" uri="{C3380CC4-5D6E-409C-BE32-E72D297353CC}">
              <c16:uniqueId val="{00000068-EBA1-4B25-98C3-A7CE76AB1BD2}"/>
            </c:ext>
          </c:extLst>
        </c:ser>
        <c:ser>
          <c:idx val="51"/>
          <c:order val="51"/>
          <c:tx>
            <c:v>Criar departamento de canais - criar canais de venda de anúncios (Soul Up)</c:v>
          </c:tx>
          <c:xVal>
            <c:numLit>
              <c:formatCode>General</c:formatCode>
              <c:ptCount val="1"/>
              <c:pt idx="0">
                <c:v>9</c:v>
              </c:pt>
            </c:numLit>
          </c:xVal>
          <c:yVal>
            <c:numLit>
              <c:formatCode>General</c:formatCode>
              <c:ptCount val="1"/>
              <c:pt idx="0">
                <c:v>11</c:v>
              </c:pt>
            </c:numLit>
          </c:yVal>
          <c:smooth val="0"/>
          <c:extLst>
            <c:ext xmlns:c16="http://schemas.microsoft.com/office/drawing/2014/chart" uri="{C3380CC4-5D6E-409C-BE32-E72D297353CC}">
              <c16:uniqueId val="{00000069-EBA1-4B25-98C3-A7CE76AB1BD2}"/>
            </c:ext>
          </c:extLst>
        </c:ser>
        <c:ser>
          <c:idx val="52"/>
          <c:order val="52"/>
          <c:tx>
            <c:v>Performar os contratos B2B Interpreise</c:v>
          </c:tx>
          <c:xVal>
            <c:numLit>
              <c:formatCode>General</c:formatCode>
              <c:ptCount val="1"/>
              <c:pt idx="0">
                <c:v>9</c:v>
              </c:pt>
            </c:numLit>
          </c:xVal>
          <c:yVal>
            <c:numLit>
              <c:formatCode>General</c:formatCode>
              <c:ptCount val="1"/>
              <c:pt idx="0">
                <c:v>14</c:v>
              </c:pt>
            </c:numLit>
          </c:yVal>
          <c:smooth val="0"/>
          <c:extLst>
            <c:ext xmlns:c16="http://schemas.microsoft.com/office/drawing/2014/chart" uri="{C3380CC4-5D6E-409C-BE32-E72D297353CC}">
              <c16:uniqueId val="{0000006A-EBA1-4B25-98C3-A7CE76AB1BD2}"/>
            </c:ext>
          </c:extLst>
        </c:ser>
        <c:ser>
          <c:idx val="53"/>
          <c:order val="53"/>
          <c:tx>
            <c:v>Definir a estratégia de atendimento por tipo de produto : ter um fluxo de canal de pontos de contato do cliente (Pontos Ecoa, Soul up e Energia Verde) publicados</c:v>
          </c:tx>
          <c:xVal>
            <c:numLit>
              <c:formatCode>General</c:formatCode>
              <c:ptCount val="1"/>
              <c:pt idx="0">
                <c:v>12</c:v>
              </c:pt>
            </c:numLit>
          </c:xVal>
          <c:yVal>
            <c:numLit>
              <c:formatCode>General</c:formatCode>
              <c:ptCount val="1"/>
              <c:pt idx="0">
                <c:v>6</c:v>
              </c:pt>
            </c:numLit>
          </c:yVal>
          <c:smooth val="0"/>
          <c:extLst>
            <c:ext xmlns:c16="http://schemas.microsoft.com/office/drawing/2014/chart" uri="{C3380CC4-5D6E-409C-BE32-E72D297353CC}">
              <c16:uniqueId val="{0000006B-EBA1-4B25-98C3-A7CE76AB1BD2}"/>
            </c:ext>
          </c:extLst>
        </c:ser>
        <c:dLbls>
          <c:showLegendKey val="0"/>
          <c:showVal val="0"/>
          <c:showCatName val="0"/>
          <c:showSerName val="0"/>
          <c:showPercent val="0"/>
          <c:showBubbleSize val="0"/>
        </c:dLbls>
        <c:axId val="278040496"/>
        <c:axId val="278038528"/>
      </c:scatterChart>
      <c:valAx>
        <c:axId val="278040496"/>
        <c:scaling>
          <c:orientation val="minMax"/>
          <c:max val="21"/>
          <c:min val="0"/>
        </c:scaling>
        <c:delete val="1"/>
        <c:axPos val="b"/>
        <c:numFmt formatCode="General" sourceLinked="1"/>
        <c:majorTickMark val="out"/>
        <c:minorTickMark val="none"/>
        <c:tickLblPos val="nextTo"/>
        <c:crossAx val="278038528"/>
        <c:crosses val="autoZero"/>
        <c:crossBetween val="midCat"/>
        <c:majorUnit val="1"/>
        <c:minorUnit val="1"/>
      </c:valAx>
      <c:valAx>
        <c:axId val="278038528"/>
        <c:scaling>
          <c:orientation val="minMax"/>
          <c:max val="21"/>
          <c:min val="0"/>
        </c:scaling>
        <c:delete val="1"/>
        <c:axPos val="l"/>
        <c:numFmt formatCode="General" sourceLinked="1"/>
        <c:majorTickMark val="out"/>
        <c:minorTickMark val="none"/>
        <c:tickLblPos val="nextTo"/>
        <c:crossAx val="278040496"/>
        <c:crosses val="autoZero"/>
        <c:crossBetween val="midCat"/>
        <c:majorUnit val="1"/>
        <c:minorUnit val="1"/>
      </c:valAx>
    </c:plotArea>
    <c:plotVisOnly val="1"/>
    <c:dispBlanksAs val="gap"/>
    <c:showDLblsOverMax val="0"/>
    <c:extLst/>
  </c:chart>
  <c:spPr>
    <a:noFill/>
    <a:ln w="9525" cap="flat" cmpd="sng" algn="ctr">
      <a:solidFill>
        <a:schemeClr val="accent1">
          <a:lumMod val="60000"/>
          <a:lumOff val="40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png"/><Relationship Id="rId7" Type="http://schemas.openxmlformats.org/officeDocument/2006/relationships/image" Target="../media/image4.png"/><Relationship Id="rId2" Type="http://schemas.openxmlformats.org/officeDocument/2006/relationships/hyperlink" Target="#'Iniciativas 2026'!C11"/><Relationship Id="rId1" Type="http://schemas.openxmlformats.org/officeDocument/2006/relationships/image" Target="../media/image1.png"/><Relationship Id="rId6" Type="http://schemas.openxmlformats.org/officeDocument/2006/relationships/hyperlink" Target="#Monitoramento!G3"/><Relationship Id="rId5" Type="http://schemas.openxmlformats.org/officeDocument/2006/relationships/image" Target="../media/image3.png"/><Relationship Id="rId4" Type="http://schemas.openxmlformats.org/officeDocument/2006/relationships/hyperlink" Target="#'Painel - Cockpit'!N3"/></Relationships>
</file>

<file path=xl/drawings/_rels/drawing2.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image" Target="../media/image1.png"/><Relationship Id="rId7" Type="http://schemas.openxmlformats.org/officeDocument/2006/relationships/image" Target="../media/image8.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hyperlink" Target="#Pilares!B15"/><Relationship Id="rId5" Type="http://schemas.openxmlformats.org/officeDocument/2006/relationships/image" Target="../media/image7.svg"/><Relationship Id="rId4" Type="http://schemas.openxmlformats.org/officeDocument/2006/relationships/image" Target="../media/image6.png"/><Relationship Id="rId9" Type="http://schemas.openxmlformats.org/officeDocument/2006/relationships/chart" Target="../charts/chart3.xml"/></Relationships>
</file>

<file path=xl/drawings/_rels/drawing3.xml.rels><?xml version="1.0" encoding="UTF-8" standalone="yes"?>
<Relationships xmlns="http://schemas.openxmlformats.org/package/2006/relationships"><Relationship Id="rId8" Type="http://schemas.openxmlformats.org/officeDocument/2006/relationships/image" Target="../media/image9.svg"/><Relationship Id="rId3" Type="http://schemas.openxmlformats.org/officeDocument/2006/relationships/chart" Target="../charts/chart4.xml"/><Relationship Id="rId7" Type="http://schemas.openxmlformats.org/officeDocument/2006/relationships/image" Target="../media/image8.png"/><Relationship Id="rId2" Type="http://schemas.openxmlformats.org/officeDocument/2006/relationships/image" Target="../media/image11.svg"/><Relationship Id="rId1" Type="http://schemas.openxmlformats.org/officeDocument/2006/relationships/image" Target="../media/image10.png"/><Relationship Id="rId6" Type="http://schemas.openxmlformats.org/officeDocument/2006/relationships/hyperlink" Target="#Pilares!B15"/><Relationship Id="rId5" Type="http://schemas.openxmlformats.org/officeDocument/2006/relationships/image" Target="../media/image1.png"/><Relationship Id="rId4" Type="http://schemas.openxmlformats.org/officeDocument/2006/relationships/chart" Target="../charts/chart5.xml"/></Relationships>
</file>

<file path=xl/drawings/_rels/drawing4.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hyperlink" Target="#Pilares!B15"/><Relationship Id="rId1" Type="http://schemas.openxmlformats.org/officeDocument/2006/relationships/image" Target="../media/image1.png"/><Relationship Id="rId4" Type="http://schemas.openxmlformats.org/officeDocument/2006/relationships/image" Target="../media/image9.svg"/></Relationships>
</file>

<file path=xl/drawings/drawing1.xml><?xml version="1.0" encoding="utf-8"?>
<xdr:wsDr xmlns:xdr="http://schemas.openxmlformats.org/drawingml/2006/spreadsheetDrawing" xmlns:a="http://schemas.openxmlformats.org/drawingml/2006/main">
  <xdr:twoCellAnchor>
    <xdr:from>
      <xdr:col>0</xdr:col>
      <xdr:colOff>259080</xdr:colOff>
      <xdr:row>22</xdr:row>
      <xdr:rowOff>53340</xdr:rowOff>
    </xdr:from>
    <xdr:to>
      <xdr:col>2</xdr:col>
      <xdr:colOff>68580</xdr:colOff>
      <xdr:row>26</xdr:row>
      <xdr:rowOff>144780</xdr:rowOff>
    </xdr:to>
    <xdr:grpSp>
      <xdr:nvGrpSpPr>
        <xdr:cNvPr id="65" name="Agrupar 64">
          <a:extLst>
            <a:ext uri="{FF2B5EF4-FFF2-40B4-BE49-F238E27FC236}">
              <a16:creationId xmlns:a16="http://schemas.microsoft.com/office/drawing/2014/main" id="{1C6F8816-A991-40AA-AF89-30F01D35B84A}"/>
            </a:ext>
          </a:extLst>
        </xdr:cNvPr>
        <xdr:cNvGrpSpPr/>
      </xdr:nvGrpSpPr>
      <xdr:grpSpPr>
        <a:xfrm>
          <a:off x="259080" y="4300220"/>
          <a:ext cx="1150620" cy="863600"/>
          <a:chOff x="5928360" y="1135380"/>
          <a:chExt cx="1028700" cy="822960"/>
        </a:xfrm>
      </xdr:grpSpPr>
      <xdr:sp macro="" textlink="">
        <xdr:nvSpPr>
          <xdr:cNvPr id="66" name="CaixaDeTexto 65">
            <a:extLst>
              <a:ext uri="{FF2B5EF4-FFF2-40B4-BE49-F238E27FC236}">
                <a16:creationId xmlns:a16="http://schemas.microsoft.com/office/drawing/2014/main" id="{1E0AA187-5902-C52A-B90C-7B4D2D5E230B}"/>
              </a:ext>
            </a:extLst>
          </xdr:cNvPr>
          <xdr:cNvSpPr txBox="1"/>
        </xdr:nvSpPr>
        <xdr:spPr>
          <a:xfrm>
            <a:off x="5935980" y="1135380"/>
            <a:ext cx="102108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Total de</a:t>
            </a:r>
            <a:r>
              <a:rPr lang="pt-BR" sz="1100" baseline="0"/>
              <a:t> Iniciativas</a:t>
            </a:r>
            <a:endParaRPr lang="pt-BR" sz="1100"/>
          </a:p>
        </xdr:txBody>
      </xdr:sp>
      <xdr:sp macro="" textlink="Apoio!D2">
        <xdr:nvSpPr>
          <xdr:cNvPr id="67" name="CaixaDeTexto 66">
            <a:extLst>
              <a:ext uri="{FF2B5EF4-FFF2-40B4-BE49-F238E27FC236}">
                <a16:creationId xmlns:a16="http://schemas.microsoft.com/office/drawing/2014/main" id="{40761AD4-D549-09A9-3085-1100C2B376C1}"/>
              </a:ext>
            </a:extLst>
          </xdr:cNvPr>
          <xdr:cNvSpPr txBox="1"/>
        </xdr:nvSpPr>
        <xdr:spPr>
          <a:xfrm>
            <a:off x="5928360" y="1531620"/>
            <a:ext cx="64770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B97F8A7-EF55-4126-8F39-E3847EEDFB86}" type="TxLink">
              <a:rPr lang="en-US" sz="2000" b="1" i="0" u="none" strike="noStrike">
                <a:solidFill>
                  <a:srgbClr val="000000"/>
                </a:solidFill>
                <a:latin typeface="Calibri"/>
                <a:ea typeface="Calibri"/>
                <a:cs typeface="Calibri"/>
              </a:rPr>
              <a:pPr/>
              <a:t>56</a:t>
            </a:fld>
            <a:endParaRPr lang="pt-BR" sz="4000" b="1">
              <a:solidFill>
                <a:schemeClr val="tx1"/>
              </a:solidFill>
            </a:endParaRPr>
          </a:p>
        </xdr:txBody>
      </xdr:sp>
      <xdr:cxnSp macro="">
        <xdr:nvCxnSpPr>
          <xdr:cNvPr id="68" name="Conector reto 67">
            <a:extLst>
              <a:ext uri="{FF2B5EF4-FFF2-40B4-BE49-F238E27FC236}">
                <a16:creationId xmlns:a16="http://schemas.microsoft.com/office/drawing/2014/main" id="{EC49E5B9-DF72-8CC4-5766-37C7DF07767C}"/>
              </a:ext>
            </a:extLst>
          </xdr:cNvPr>
          <xdr:cNvCxnSpPr/>
        </xdr:nvCxnSpPr>
        <xdr:spPr>
          <a:xfrm flipH="1">
            <a:off x="5996940" y="1562100"/>
            <a:ext cx="792480" cy="0"/>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0</xdr:col>
      <xdr:colOff>274320</xdr:colOff>
      <xdr:row>12</xdr:row>
      <xdr:rowOff>106680</xdr:rowOff>
    </xdr:from>
    <xdr:to>
      <xdr:col>3</xdr:col>
      <xdr:colOff>575310</xdr:colOff>
      <xdr:row>18</xdr:row>
      <xdr:rowOff>45720</xdr:rowOff>
    </xdr:to>
    <xdr:grpSp>
      <xdr:nvGrpSpPr>
        <xdr:cNvPr id="4" name="Agrupar 3">
          <a:extLst>
            <a:ext uri="{FF2B5EF4-FFF2-40B4-BE49-F238E27FC236}">
              <a16:creationId xmlns:a16="http://schemas.microsoft.com/office/drawing/2014/main" id="{05DED2DC-75DD-BC83-5444-5D4D244530F1}"/>
            </a:ext>
          </a:extLst>
        </xdr:cNvPr>
        <xdr:cNvGrpSpPr/>
      </xdr:nvGrpSpPr>
      <xdr:grpSpPr>
        <a:xfrm>
          <a:off x="274320" y="2423160"/>
          <a:ext cx="2312670" cy="1097280"/>
          <a:chOff x="2613660" y="1440180"/>
          <a:chExt cx="1615440" cy="891540"/>
        </a:xfrm>
        <a:effectLst>
          <a:outerShdw blurRad="50800" dist="38100" dir="2700000" algn="tl" rotWithShape="0">
            <a:prstClr val="black">
              <a:alpha val="40000"/>
            </a:prstClr>
          </a:outerShdw>
        </a:effectLst>
      </xdr:grpSpPr>
      <xdr:sp macro="" textlink="">
        <xdr:nvSpPr>
          <xdr:cNvPr id="2" name="Retângulo 1">
            <a:extLst>
              <a:ext uri="{FF2B5EF4-FFF2-40B4-BE49-F238E27FC236}">
                <a16:creationId xmlns:a16="http://schemas.microsoft.com/office/drawing/2014/main" id="{19B37224-6C50-E653-EE78-8BC378B17F50}"/>
              </a:ext>
            </a:extLst>
          </xdr:cNvPr>
          <xdr:cNvSpPr/>
        </xdr:nvSpPr>
        <xdr:spPr>
          <a:xfrm>
            <a:off x="2613660" y="1440180"/>
            <a:ext cx="1615440" cy="891540"/>
          </a:xfrm>
          <a:prstGeom prst="rect">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200"/>
          </a:p>
        </xdr:txBody>
      </xdr:sp>
      <xdr:sp macro="" textlink="">
        <xdr:nvSpPr>
          <xdr:cNvPr id="3" name="CaixaDeTexto 2">
            <a:extLst>
              <a:ext uri="{FF2B5EF4-FFF2-40B4-BE49-F238E27FC236}">
                <a16:creationId xmlns:a16="http://schemas.microsoft.com/office/drawing/2014/main" id="{882482F2-9B6D-5471-B02B-6FA3246E9674}"/>
              </a:ext>
            </a:extLst>
          </xdr:cNvPr>
          <xdr:cNvSpPr txBox="1"/>
        </xdr:nvSpPr>
        <xdr:spPr>
          <a:xfrm>
            <a:off x="2628900" y="1485900"/>
            <a:ext cx="157734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600" b="1">
                <a:solidFill>
                  <a:schemeClr val="bg1"/>
                </a:solidFill>
              </a:rPr>
              <a:t>P1</a:t>
            </a:r>
          </a:p>
          <a:p>
            <a:pPr algn="ctr"/>
            <a:r>
              <a:rPr lang="pt-BR" sz="1600" b="1">
                <a:solidFill>
                  <a:schemeClr val="bg1"/>
                </a:solidFill>
              </a:rPr>
              <a:t>Encantar os Clientes</a:t>
            </a:r>
          </a:p>
        </xdr:txBody>
      </xdr:sp>
    </xdr:grpSp>
    <xdr:clientData/>
  </xdr:twoCellAnchor>
  <xdr:twoCellAnchor>
    <xdr:from>
      <xdr:col>4</xdr:col>
      <xdr:colOff>106045</xdr:colOff>
      <xdr:row>12</xdr:row>
      <xdr:rowOff>114302</xdr:rowOff>
    </xdr:from>
    <xdr:to>
      <xdr:col>7</xdr:col>
      <xdr:colOff>407035</xdr:colOff>
      <xdr:row>18</xdr:row>
      <xdr:rowOff>3909</xdr:rowOff>
    </xdr:to>
    <xdr:grpSp>
      <xdr:nvGrpSpPr>
        <xdr:cNvPr id="5" name="Agrupar 4">
          <a:extLst>
            <a:ext uri="{FF2B5EF4-FFF2-40B4-BE49-F238E27FC236}">
              <a16:creationId xmlns:a16="http://schemas.microsoft.com/office/drawing/2014/main" id="{6BCAF325-CB74-4186-A39A-D68B099381E3}"/>
            </a:ext>
          </a:extLst>
        </xdr:cNvPr>
        <xdr:cNvGrpSpPr/>
      </xdr:nvGrpSpPr>
      <xdr:grpSpPr>
        <a:xfrm>
          <a:off x="2788285" y="2430782"/>
          <a:ext cx="2312670" cy="1047847"/>
          <a:chOff x="2613660" y="1440181"/>
          <a:chExt cx="1615440" cy="845819"/>
        </a:xfrm>
        <a:effectLst>
          <a:outerShdw blurRad="50800" dist="38100" dir="2700000" algn="tl" rotWithShape="0">
            <a:prstClr val="black">
              <a:alpha val="40000"/>
            </a:prstClr>
          </a:outerShdw>
        </a:effectLst>
      </xdr:grpSpPr>
      <xdr:sp macro="" textlink="">
        <xdr:nvSpPr>
          <xdr:cNvPr id="6" name="Retângulo 5">
            <a:extLst>
              <a:ext uri="{FF2B5EF4-FFF2-40B4-BE49-F238E27FC236}">
                <a16:creationId xmlns:a16="http://schemas.microsoft.com/office/drawing/2014/main" id="{B34889CD-C7E2-7593-0DCC-BDC98C04F37D}"/>
              </a:ext>
            </a:extLst>
          </xdr:cNvPr>
          <xdr:cNvSpPr/>
        </xdr:nvSpPr>
        <xdr:spPr>
          <a:xfrm>
            <a:off x="2613660" y="1440181"/>
            <a:ext cx="1615440" cy="672063"/>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200"/>
          </a:p>
        </xdr:txBody>
      </xdr:sp>
      <xdr:sp macro="" textlink="">
        <xdr:nvSpPr>
          <xdr:cNvPr id="7" name="CaixaDeTexto 6">
            <a:extLst>
              <a:ext uri="{FF2B5EF4-FFF2-40B4-BE49-F238E27FC236}">
                <a16:creationId xmlns:a16="http://schemas.microsoft.com/office/drawing/2014/main" id="{5A9772B1-3C8A-7E82-B193-E7FE7C5DC59E}"/>
              </a:ext>
            </a:extLst>
          </xdr:cNvPr>
          <xdr:cNvSpPr txBox="1"/>
        </xdr:nvSpPr>
        <xdr:spPr>
          <a:xfrm>
            <a:off x="2628900" y="1485900"/>
            <a:ext cx="157734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600" b="1">
                <a:solidFill>
                  <a:schemeClr val="bg1"/>
                </a:solidFill>
              </a:rPr>
              <a:t>P2</a:t>
            </a:r>
          </a:p>
          <a:p>
            <a:pPr algn="ctr"/>
            <a:r>
              <a:rPr lang="pt-BR" sz="1600" b="1">
                <a:solidFill>
                  <a:schemeClr val="bg1"/>
                </a:solidFill>
              </a:rPr>
              <a:t>Alta Rantabilidade</a:t>
            </a:r>
          </a:p>
        </xdr:txBody>
      </xdr:sp>
    </xdr:grpSp>
    <xdr:clientData/>
  </xdr:twoCellAnchor>
  <xdr:twoCellAnchor>
    <xdr:from>
      <xdr:col>0</xdr:col>
      <xdr:colOff>167640</xdr:colOff>
      <xdr:row>9</xdr:row>
      <xdr:rowOff>76200</xdr:rowOff>
    </xdr:from>
    <xdr:to>
      <xdr:col>6</xdr:col>
      <xdr:colOff>520700</xdr:colOff>
      <xdr:row>11</xdr:row>
      <xdr:rowOff>76200</xdr:rowOff>
    </xdr:to>
    <xdr:sp macro="" textlink="">
      <xdr:nvSpPr>
        <xdr:cNvPr id="11" name="CaixaDeTexto 10">
          <a:extLst>
            <a:ext uri="{FF2B5EF4-FFF2-40B4-BE49-F238E27FC236}">
              <a16:creationId xmlns:a16="http://schemas.microsoft.com/office/drawing/2014/main" id="{4B2DC233-F574-C986-0889-16D255AAC400}"/>
            </a:ext>
          </a:extLst>
        </xdr:cNvPr>
        <xdr:cNvSpPr txBox="1"/>
      </xdr:nvSpPr>
      <xdr:spPr>
        <a:xfrm>
          <a:off x="167640" y="2470150"/>
          <a:ext cx="4010660" cy="3683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600" b="1">
              <a:solidFill>
                <a:schemeClr val="accent1">
                  <a:lumMod val="50000"/>
                </a:schemeClr>
              </a:solidFill>
            </a:rPr>
            <a:t>PILARES QUE SUSTENTAM A ESTRATÉGIA</a:t>
          </a:r>
        </a:p>
      </xdr:txBody>
    </xdr:sp>
    <xdr:clientData/>
  </xdr:twoCellAnchor>
  <xdr:twoCellAnchor>
    <xdr:from>
      <xdr:col>7</xdr:col>
      <xdr:colOff>541655</xdr:colOff>
      <xdr:row>12</xdr:row>
      <xdr:rowOff>123825</xdr:rowOff>
    </xdr:from>
    <xdr:to>
      <xdr:col>11</xdr:col>
      <xdr:colOff>231140</xdr:colOff>
      <xdr:row>18</xdr:row>
      <xdr:rowOff>4396</xdr:rowOff>
    </xdr:to>
    <xdr:grpSp>
      <xdr:nvGrpSpPr>
        <xdr:cNvPr id="12" name="Agrupar 11">
          <a:extLst>
            <a:ext uri="{FF2B5EF4-FFF2-40B4-BE49-F238E27FC236}">
              <a16:creationId xmlns:a16="http://schemas.microsoft.com/office/drawing/2014/main" id="{9FC919C8-8924-4E18-9C5B-13D8A14A8978}"/>
            </a:ext>
          </a:extLst>
        </xdr:cNvPr>
        <xdr:cNvGrpSpPr/>
      </xdr:nvGrpSpPr>
      <xdr:grpSpPr>
        <a:xfrm>
          <a:off x="5235575" y="2440305"/>
          <a:ext cx="2371725" cy="1038811"/>
          <a:chOff x="2613660" y="1440180"/>
          <a:chExt cx="1615440" cy="845820"/>
        </a:xfrm>
        <a:effectLst>
          <a:outerShdw blurRad="50800" dist="38100" dir="2700000" algn="tl" rotWithShape="0">
            <a:prstClr val="black">
              <a:alpha val="40000"/>
            </a:prstClr>
          </a:outerShdw>
        </a:effectLst>
      </xdr:grpSpPr>
      <xdr:sp macro="" textlink="">
        <xdr:nvSpPr>
          <xdr:cNvPr id="13" name="Retângulo 12">
            <a:extLst>
              <a:ext uri="{FF2B5EF4-FFF2-40B4-BE49-F238E27FC236}">
                <a16:creationId xmlns:a16="http://schemas.microsoft.com/office/drawing/2014/main" id="{7F3B849E-C3EA-C90F-AE52-A3569AD409FD}"/>
              </a:ext>
            </a:extLst>
          </xdr:cNvPr>
          <xdr:cNvSpPr/>
        </xdr:nvSpPr>
        <xdr:spPr>
          <a:xfrm>
            <a:off x="2613660" y="1440180"/>
            <a:ext cx="1615440" cy="663152"/>
          </a:xfrm>
          <a:prstGeom prst="rect">
            <a:avLst/>
          </a:prstGeom>
          <a:solidFill>
            <a:schemeClr val="accent6">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200"/>
          </a:p>
        </xdr:txBody>
      </xdr:sp>
      <xdr:sp macro="" textlink="">
        <xdr:nvSpPr>
          <xdr:cNvPr id="14" name="CaixaDeTexto 13">
            <a:extLst>
              <a:ext uri="{FF2B5EF4-FFF2-40B4-BE49-F238E27FC236}">
                <a16:creationId xmlns:a16="http://schemas.microsoft.com/office/drawing/2014/main" id="{C95F7107-BB99-4AE4-AC88-1B42A31C425E}"/>
              </a:ext>
            </a:extLst>
          </xdr:cNvPr>
          <xdr:cNvSpPr txBox="1"/>
        </xdr:nvSpPr>
        <xdr:spPr>
          <a:xfrm>
            <a:off x="2628900" y="1485900"/>
            <a:ext cx="1577340" cy="800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600" b="1">
                <a:solidFill>
                  <a:schemeClr val="bg1"/>
                </a:solidFill>
              </a:rPr>
              <a:t>P3</a:t>
            </a:r>
          </a:p>
          <a:p>
            <a:pPr algn="ctr"/>
            <a:r>
              <a:rPr lang="pt-BR" sz="1600" b="1">
                <a:solidFill>
                  <a:schemeClr val="bg1"/>
                </a:solidFill>
              </a:rPr>
              <a:t>Capital com Foco</a:t>
            </a:r>
          </a:p>
        </xdr:txBody>
      </xdr:sp>
    </xdr:grpSp>
    <xdr:clientData/>
  </xdr:twoCellAnchor>
  <xdr:twoCellAnchor>
    <xdr:from>
      <xdr:col>0</xdr:col>
      <xdr:colOff>180791</xdr:colOff>
      <xdr:row>2</xdr:row>
      <xdr:rowOff>142875</xdr:rowOff>
    </xdr:from>
    <xdr:to>
      <xdr:col>12</xdr:col>
      <xdr:colOff>44450</xdr:colOff>
      <xdr:row>9</xdr:row>
      <xdr:rowOff>24384</xdr:rowOff>
    </xdr:to>
    <xdr:sp macro="" textlink="">
      <xdr:nvSpPr>
        <xdr:cNvPr id="23" name="CaixaDeTexto 22">
          <a:extLst>
            <a:ext uri="{FF2B5EF4-FFF2-40B4-BE49-F238E27FC236}">
              <a16:creationId xmlns:a16="http://schemas.microsoft.com/office/drawing/2014/main" id="{407E9FB8-53A0-4791-BA87-809D10371755}"/>
            </a:ext>
          </a:extLst>
        </xdr:cNvPr>
        <xdr:cNvSpPr txBox="1"/>
      </xdr:nvSpPr>
      <xdr:spPr>
        <a:xfrm>
          <a:off x="180791" y="508635"/>
          <a:ext cx="7178859" cy="116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800" b="0" i="1">
              <a:solidFill>
                <a:schemeClr val="accent1">
                  <a:lumMod val="50000"/>
                </a:schemeClr>
              </a:solidFill>
            </a:rPr>
            <a:t>Propósito:</a:t>
          </a:r>
        </a:p>
        <a:p>
          <a:pPr algn="l"/>
          <a:r>
            <a:rPr lang="pt-BR" sz="2000" b="1" i="1">
              <a:solidFill>
                <a:srgbClr val="00B050"/>
              </a:solidFill>
            </a:rPr>
            <a:t>Zerar</a:t>
          </a:r>
          <a:r>
            <a:rPr lang="pt-BR" sz="1800" b="0" i="1">
              <a:solidFill>
                <a:schemeClr val="accent1">
                  <a:lumMod val="50000"/>
                </a:schemeClr>
              </a:solidFill>
            </a:rPr>
            <a:t> a conta de luz das pessoas e transformar o consumo em impacto positivo, econômico, social e ambiental</a:t>
          </a:r>
        </a:p>
      </xdr:txBody>
    </xdr:sp>
    <xdr:clientData/>
  </xdr:twoCellAnchor>
  <xdr:twoCellAnchor>
    <xdr:from>
      <xdr:col>0</xdr:col>
      <xdr:colOff>285759</xdr:colOff>
      <xdr:row>11</xdr:row>
      <xdr:rowOff>6803</xdr:rowOff>
    </xdr:from>
    <xdr:to>
      <xdr:col>13</xdr:col>
      <xdr:colOff>59023</xdr:colOff>
      <xdr:row>11</xdr:row>
      <xdr:rowOff>40821</xdr:rowOff>
    </xdr:to>
    <xdr:cxnSp macro="">
      <xdr:nvCxnSpPr>
        <xdr:cNvPr id="27" name="Conector reto 26">
          <a:extLst>
            <a:ext uri="{FF2B5EF4-FFF2-40B4-BE49-F238E27FC236}">
              <a16:creationId xmlns:a16="http://schemas.microsoft.com/office/drawing/2014/main" id="{9EA933D2-68A0-4668-8201-C7E3FB9F2618}"/>
            </a:ext>
          </a:extLst>
        </xdr:cNvPr>
        <xdr:cNvCxnSpPr/>
      </xdr:nvCxnSpPr>
      <xdr:spPr>
        <a:xfrm flipH="1">
          <a:off x="285759" y="2027464"/>
          <a:ext cx="7733443" cy="3401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92275</xdr:colOff>
      <xdr:row>16</xdr:row>
      <xdr:rowOff>170498</xdr:rowOff>
    </xdr:from>
    <xdr:to>
      <xdr:col>7</xdr:col>
      <xdr:colOff>437922</xdr:colOff>
      <xdr:row>21</xdr:row>
      <xdr:rowOff>167640</xdr:rowOff>
    </xdr:to>
    <xdr:grpSp>
      <xdr:nvGrpSpPr>
        <xdr:cNvPr id="37" name="Agrupar 36">
          <a:extLst>
            <a:ext uri="{FF2B5EF4-FFF2-40B4-BE49-F238E27FC236}">
              <a16:creationId xmlns:a16="http://schemas.microsoft.com/office/drawing/2014/main" id="{2D72ABA0-1DBC-4073-B9CA-4FD31AA6BC91}"/>
            </a:ext>
          </a:extLst>
        </xdr:cNvPr>
        <xdr:cNvGrpSpPr/>
      </xdr:nvGrpSpPr>
      <xdr:grpSpPr>
        <a:xfrm>
          <a:off x="2774515" y="3259138"/>
          <a:ext cx="2357327" cy="962342"/>
          <a:chOff x="2605373" y="1118173"/>
          <a:chExt cx="1655093" cy="1156028"/>
        </a:xfrm>
        <a:effectLst>
          <a:outerShdw blurRad="50800" dist="38100" dir="2700000" algn="tl" rotWithShape="0">
            <a:prstClr val="black">
              <a:alpha val="40000"/>
            </a:prstClr>
          </a:outerShdw>
        </a:effectLst>
      </xdr:grpSpPr>
      <xdr:sp macro="" textlink="">
        <xdr:nvSpPr>
          <xdr:cNvPr id="38" name="Retângulo 37">
            <a:extLst>
              <a:ext uri="{FF2B5EF4-FFF2-40B4-BE49-F238E27FC236}">
                <a16:creationId xmlns:a16="http://schemas.microsoft.com/office/drawing/2014/main" id="{B7E84C55-42E3-452D-19F3-05D98AEB985D}"/>
              </a:ext>
            </a:extLst>
          </xdr:cNvPr>
          <xdr:cNvSpPr/>
        </xdr:nvSpPr>
        <xdr:spPr>
          <a:xfrm>
            <a:off x="2613660" y="1118173"/>
            <a:ext cx="1615440" cy="1156028"/>
          </a:xfrm>
          <a:prstGeom prst="rect">
            <a:avLst/>
          </a:prstGeom>
          <a:solidFill>
            <a:schemeClr val="accent2">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200"/>
          </a:p>
        </xdr:txBody>
      </xdr:sp>
      <xdr:sp macro="" textlink="">
        <xdr:nvSpPr>
          <xdr:cNvPr id="39" name="CaixaDeTexto 38">
            <a:extLst>
              <a:ext uri="{FF2B5EF4-FFF2-40B4-BE49-F238E27FC236}">
                <a16:creationId xmlns:a16="http://schemas.microsoft.com/office/drawing/2014/main" id="{702573EA-7423-0459-BA43-54C838E722F1}"/>
              </a:ext>
            </a:extLst>
          </xdr:cNvPr>
          <xdr:cNvSpPr txBox="1"/>
        </xdr:nvSpPr>
        <xdr:spPr>
          <a:xfrm>
            <a:off x="2605373" y="1133501"/>
            <a:ext cx="1655093" cy="1140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400" b="0">
                <a:solidFill>
                  <a:schemeClr val="accent1">
                    <a:lumMod val="50000"/>
                  </a:schemeClr>
                </a:solidFill>
              </a:rPr>
              <a:t>Visibilidade e retorno aos investidores</a:t>
            </a:r>
          </a:p>
        </xdr:txBody>
      </xdr:sp>
    </xdr:grpSp>
    <xdr:clientData/>
  </xdr:twoCellAnchor>
  <xdr:twoCellAnchor>
    <xdr:from>
      <xdr:col>0</xdr:col>
      <xdr:colOff>274044</xdr:colOff>
      <xdr:row>16</xdr:row>
      <xdr:rowOff>170498</xdr:rowOff>
    </xdr:from>
    <xdr:to>
      <xdr:col>3</xdr:col>
      <xdr:colOff>585105</xdr:colOff>
      <xdr:row>21</xdr:row>
      <xdr:rowOff>171450</xdr:rowOff>
    </xdr:to>
    <xdr:grpSp>
      <xdr:nvGrpSpPr>
        <xdr:cNvPr id="41" name="Agrupar 40">
          <a:extLst>
            <a:ext uri="{FF2B5EF4-FFF2-40B4-BE49-F238E27FC236}">
              <a16:creationId xmlns:a16="http://schemas.microsoft.com/office/drawing/2014/main" id="{E673CE9B-F1B6-4C6E-B991-153934DE548D}"/>
            </a:ext>
          </a:extLst>
        </xdr:cNvPr>
        <xdr:cNvGrpSpPr/>
      </xdr:nvGrpSpPr>
      <xdr:grpSpPr>
        <a:xfrm>
          <a:off x="274044" y="3259138"/>
          <a:ext cx="2322741" cy="966152"/>
          <a:chOff x="2613215" y="1122973"/>
          <a:chExt cx="1665645" cy="1151228"/>
        </a:xfrm>
        <a:effectLst>
          <a:outerShdw blurRad="50800" dist="38100" dir="2700000" algn="tl" rotWithShape="0">
            <a:prstClr val="black">
              <a:alpha val="40000"/>
            </a:prstClr>
          </a:outerShdw>
        </a:effectLst>
      </xdr:grpSpPr>
      <xdr:sp macro="" textlink="">
        <xdr:nvSpPr>
          <xdr:cNvPr id="42" name="Retângulo 41">
            <a:extLst>
              <a:ext uri="{FF2B5EF4-FFF2-40B4-BE49-F238E27FC236}">
                <a16:creationId xmlns:a16="http://schemas.microsoft.com/office/drawing/2014/main" id="{738086E9-D2EE-28A3-2F25-E91A3B435D5D}"/>
              </a:ext>
            </a:extLst>
          </xdr:cNvPr>
          <xdr:cNvSpPr/>
        </xdr:nvSpPr>
        <xdr:spPr>
          <a:xfrm>
            <a:off x="2613660" y="1122973"/>
            <a:ext cx="1665200" cy="1151228"/>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000"/>
          </a:p>
        </xdr:txBody>
      </xdr:sp>
      <xdr:sp macro="" textlink="">
        <xdr:nvSpPr>
          <xdr:cNvPr id="43" name="CaixaDeTexto 42">
            <a:extLst>
              <a:ext uri="{FF2B5EF4-FFF2-40B4-BE49-F238E27FC236}">
                <a16:creationId xmlns:a16="http://schemas.microsoft.com/office/drawing/2014/main" id="{6856047C-848C-5014-C2F3-970D728E6F02}"/>
              </a:ext>
            </a:extLst>
          </xdr:cNvPr>
          <xdr:cNvSpPr txBox="1"/>
        </xdr:nvSpPr>
        <xdr:spPr>
          <a:xfrm>
            <a:off x="2613215" y="1178175"/>
            <a:ext cx="1628717" cy="107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400" b="0">
                <a:solidFill>
                  <a:schemeClr val="accent1">
                    <a:lumMod val="50000"/>
                  </a:schemeClr>
                </a:solidFill>
              </a:rPr>
              <a:t>Atingir</a:t>
            </a:r>
            <a:r>
              <a:rPr lang="pt-BR" sz="1400" b="0" baseline="0">
                <a:solidFill>
                  <a:schemeClr val="accent1">
                    <a:lumMod val="50000"/>
                  </a:schemeClr>
                </a:solidFill>
              </a:rPr>
              <a:t> 100% de descontos na conta de luz</a:t>
            </a:r>
            <a:endParaRPr lang="pt-BR" sz="1400" b="0">
              <a:solidFill>
                <a:schemeClr val="accent1">
                  <a:lumMod val="50000"/>
                </a:schemeClr>
              </a:solidFill>
            </a:endParaRPr>
          </a:p>
        </xdr:txBody>
      </xdr:sp>
    </xdr:grpSp>
    <xdr:clientData/>
  </xdr:twoCellAnchor>
  <xdr:twoCellAnchor>
    <xdr:from>
      <xdr:col>7</xdr:col>
      <xdr:colOff>531813</xdr:colOff>
      <xdr:row>16</xdr:row>
      <xdr:rowOff>160654</xdr:rowOff>
    </xdr:from>
    <xdr:to>
      <xdr:col>11</xdr:col>
      <xdr:colOff>350727</xdr:colOff>
      <xdr:row>21</xdr:row>
      <xdr:rowOff>174940</xdr:rowOff>
    </xdr:to>
    <xdr:grpSp>
      <xdr:nvGrpSpPr>
        <xdr:cNvPr id="44" name="Agrupar 43">
          <a:extLst>
            <a:ext uri="{FF2B5EF4-FFF2-40B4-BE49-F238E27FC236}">
              <a16:creationId xmlns:a16="http://schemas.microsoft.com/office/drawing/2014/main" id="{EFDD2337-2AE8-49E2-ABA4-93CA2C47D3D8}"/>
            </a:ext>
          </a:extLst>
        </xdr:cNvPr>
        <xdr:cNvGrpSpPr/>
      </xdr:nvGrpSpPr>
      <xdr:grpSpPr>
        <a:xfrm>
          <a:off x="5225733" y="3249294"/>
          <a:ext cx="2501154" cy="979486"/>
          <a:chOff x="2599975" y="1092167"/>
          <a:chExt cx="1716443" cy="1182034"/>
        </a:xfrm>
        <a:effectLst>
          <a:outerShdw blurRad="50800" dist="38100" dir="2700000" algn="tl" rotWithShape="0">
            <a:prstClr val="black">
              <a:alpha val="40000"/>
            </a:prstClr>
          </a:outerShdw>
        </a:effectLst>
      </xdr:grpSpPr>
      <xdr:sp macro="" textlink="">
        <xdr:nvSpPr>
          <xdr:cNvPr id="45" name="Retângulo 44">
            <a:extLst>
              <a:ext uri="{FF2B5EF4-FFF2-40B4-BE49-F238E27FC236}">
                <a16:creationId xmlns:a16="http://schemas.microsoft.com/office/drawing/2014/main" id="{76451101-1BE1-1A31-601A-0B8828C0D1D6}"/>
              </a:ext>
            </a:extLst>
          </xdr:cNvPr>
          <xdr:cNvSpPr/>
        </xdr:nvSpPr>
        <xdr:spPr>
          <a:xfrm>
            <a:off x="2613660" y="1092167"/>
            <a:ext cx="1615440" cy="1182034"/>
          </a:xfrm>
          <a:prstGeom prst="rect">
            <a:avLst/>
          </a:prstGeom>
          <a:solidFill>
            <a:schemeClr val="accent6">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000"/>
          </a:p>
        </xdr:txBody>
      </xdr:sp>
      <xdr:sp macro="" textlink="">
        <xdr:nvSpPr>
          <xdr:cNvPr id="46" name="CaixaDeTexto 45">
            <a:extLst>
              <a:ext uri="{FF2B5EF4-FFF2-40B4-BE49-F238E27FC236}">
                <a16:creationId xmlns:a16="http://schemas.microsoft.com/office/drawing/2014/main" id="{A33735E3-6053-4D52-F184-BEE2B20F2FE6}"/>
              </a:ext>
            </a:extLst>
          </xdr:cNvPr>
          <xdr:cNvSpPr txBox="1"/>
        </xdr:nvSpPr>
        <xdr:spPr>
          <a:xfrm>
            <a:off x="2599975" y="1096994"/>
            <a:ext cx="1716443" cy="1177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400" b="0">
                <a:solidFill>
                  <a:schemeClr val="accent1">
                    <a:lumMod val="50000"/>
                  </a:schemeClr>
                </a:solidFill>
              </a:rPr>
              <a:t>Geração de caixa e investimento</a:t>
            </a:r>
          </a:p>
        </xdr:txBody>
      </xdr:sp>
    </xdr:grpSp>
    <xdr:clientData/>
  </xdr:twoCellAnchor>
  <xdr:twoCellAnchor>
    <xdr:from>
      <xdr:col>11</xdr:col>
      <xdr:colOff>325755</xdr:colOff>
      <xdr:row>12</xdr:row>
      <xdr:rowOff>67584</xdr:rowOff>
    </xdr:from>
    <xdr:to>
      <xdr:col>13</xdr:col>
      <xdr:colOff>302895</xdr:colOff>
      <xdr:row>16</xdr:row>
      <xdr:rowOff>79014</xdr:rowOff>
    </xdr:to>
    <xdr:grpSp>
      <xdr:nvGrpSpPr>
        <xdr:cNvPr id="64" name="Agrupar 63">
          <a:extLst>
            <a:ext uri="{FF2B5EF4-FFF2-40B4-BE49-F238E27FC236}">
              <a16:creationId xmlns:a16="http://schemas.microsoft.com/office/drawing/2014/main" id="{98A6CF42-E041-2519-177E-3D582F194274}"/>
            </a:ext>
          </a:extLst>
        </xdr:cNvPr>
        <xdr:cNvGrpSpPr/>
      </xdr:nvGrpSpPr>
      <xdr:grpSpPr>
        <a:xfrm>
          <a:off x="7701915" y="2384064"/>
          <a:ext cx="1318260" cy="783590"/>
          <a:chOff x="5935980" y="1009628"/>
          <a:chExt cx="1196340" cy="925852"/>
        </a:xfrm>
      </xdr:grpSpPr>
      <xdr:sp macro="" textlink="">
        <xdr:nvSpPr>
          <xdr:cNvPr id="63" name="CaixaDeTexto 62">
            <a:extLst>
              <a:ext uri="{FF2B5EF4-FFF2-40B4-BE49-F238E27FC236}">
                <a16:creationId xmlns:a16="http://schemas.microsoft.com/office/drawing/2014/main" id="{7AF6BE4B-FE8C-4F09-1765-96072291B7F2}"/>
              </a:ext>
            </a:extLst>
          </xdr:cNvPr>
          <xdr:cNvSpPr txBox="1"/>
        </xdr:nvSpPr>
        <xdr:spPr>
          <a:xfrm>
            <a:off x="5935980" y="1009628"/>
            <a:ext cx="1021080" cy="6362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Total Geral de</a:t>
            </a:r>
            <a:r>
              <a:rPr lang="pt-BR" sz="1100" baseline="0"/>
              <a:t> Iniciativas</a:t>
            </a:r>
            <a:endParaRPr lang="pt-BR" sz="1100"/>
          </a:p>
        </xdr:txBody>
      </xdr:sp>
      <xdr:sp macro="" textlink="Apoio!B29">
        <xdr:nvSpPr>
          <xdr:cNvPr id="59" name="CaixaDeTexto 58">
            <a:extLst>
              <a:ext uri="{FF2B5EF4-FFF2-40B4-BE49-F238E27FC236}">
                <a16:creationId xmlns:a16="http://schemas.microsoft.com/office/drawing/2014/main" id="{196723BD-86AF-0F8F-8DE7-277BBB87AD92}"/>
              </a:ext>
            </a:extLst>
          </xdr:cNvPr>
          <xdr:cNvSpPr txBox="1"/>
        </xdr:nvSpPr>
        <xdr:spPr>
          <a:xfrm>
            <a:off x="6096000" y="1508760"/>
            <a:ext cx="103632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815C8AE-3260-4F49-AE5B-C78C67CA7FEB}" type="TxLink">
              <a:rPr lang="en-US" sz="1800" b="1" i="0" u="none" strike="noStrike">
                <a:solidFill>
                  <a:schemeClr val="tx1"/>
                </a:solidFill>
                <a:latin typeface="Calibri"/>
                <a:ea typeface="Calibri"/>
                <a:cs typeface="Calibri"/>
              </a:rPr>
              <a:pPr/>
              <a:t>67</a:t>
            </a:fld>
            <a:endParaRPr lang="pt-BR" sz="6000" b="1">
              <a:solidFill>
                <a:schemeClr val="tx1"/>
              </a:solidFill>
            </a:endParaRPr>
          </a:p>
        </xdr:txBody>
      </xdr:sp>
      <xdr:cxnSp macro="">
        <xdr:nvCxnSpPr>
          <xdr:cNvPr id="60" name="Conector reto 59">
            <a:extLst>
              <a:ext uri="{FF2B5EF4-FFF2-40B4-BE49-F238E27FC236}">
                <a16:creationId xmlns:a16="http://schemas.microsoft.com/office/drawing/2014/main" id="{06B5E6DB-C6ED-4C87-B29D-28C85D429EC0}"/>
              </a:ext>
            </a:extLst>
          </xdr:cNvPr>
          <xdr:cNvCxnSpPr/>
        </xdr:nvCxnSpPr>
        <xdr:spPr>
          <a:xfrm flipH="1">
            <a:off x="5996940" y="1562100"/>
            <a:ext cx="800100" cy="0"/>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129540</xdr:colOff>
      <xdr:row>24</xdr:row>
      <xdr:rowOff>152400</xdr:rowOff>
    </xdr:from>
    <xdr:to>
      <xdr:col>1</xdr:col>
      <xdr:colOff>129540</xdr:colOff>
      <xdr:row>26</xdr:row>
      <xdr:rowOff>30480</xdr:rowOff>
    </xdr:to>
    <xdr:cxnSp macro="">
      <xdr:nvCxnSpPr>
        <xdr:cNvPr id="85" name="Conector reto 84">
          <a:extLst>
            <a:ext uri="{FF2B5EF4-FFF2-40B4-BE49-F238E27FC236}">
              <a16:creationId xmlns:a16="http://schemas.microsoft.com/office/drawing/2014/main" id="{CE55B1DC-3557-48B3-B73D-9EEC8AEBDD12}"/>
            </a:ext>
          </a:extLst>
        </xdr:cNvPr>
        <xdr:cNvCxnSpPr/>
      </xdr:nvCxnSpPr>
      <xdr:spPr>
        <a:xfrm flipV="1">
          <a:off x="739140" y="4724400"/>
          <a:ext cx="0" cy="24384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144780</xdr:colOff>
      <xdr:row>25</xdr:row>
      <xdr:rowOff>7620</xdr:rowOff>
    </xdr:from>
    <xdr:to>
      <xdr:col>2</xdr:col>
      <xdr:colOff>182880</xdr:colOff>
      <xdr:row>26</xdr:row>
      <xdr:rowOff>152400</xdr:rowOff>
    </xdr:to>
    <xdr:sp macro="" textlink="Apoio!E2">
      <xdr:nvSpPr>
        <xdr:cNvPr id="89" name="CaixaDeTexto 88">
          <a:extLst>
            <a:ext uri="{FF2B5EF4-FFF2-40B4-BE49-F238E27FC236}">
              <a16:creationId xmlns:a16="http://schemas.microsoft.com/office/drawing/2014/main" id="{0A20CF41-0581-4463-9FA3-F9CB79BCBEE2}"/>
            </a:ext>
          </a:extLst>
        </xdr:cNvPr>
        <xdr:cNvSpPr txBox="1"/>
      </xdr:nvSpPr>
      <xdr:spPr>
        <a:xfrm>
          <a:off x="754380" y="4762500"/>
          <a:ext cx="647700" cy="3276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682FFC7-DFD7-4A13-A534-BC9036DF4923}" type="TxLink">
            <a:rPr lang="en-US" sz="1200" b="0" i="1" u="none" strike="noStrike">
              <a:solidFill>
                <a:srgbClr val="000000"/>
              </a:solidFill>
              <a:latin typeface="Calibri"/>
              <a:ea typeface="Calibri"/>
              <a:cs typeface="Calibri"/>
            </a:rPr>
            <a:pPr/>
            <a:t>84%</a:t>
          </a:fld>
          <a:endParaRPr lang="pt-BR" sz="4400" i="1">
            <a:solidFill>
              <a:schemeClr val="tx1"/>
            </a:solidFill>
          </a:endParaRPr>
        </a:p>
      </xdr:txBody>
    </xdr:sp>
    <xdr:clientData/>
  </xdr:twoCellAnchor>
  <xdr:twoCellAnchor>
    <xdr:from>
      <xdr:col>0</xdr:col>
      <xdr:colOff>157601</xdr:colOff>
      <xdr:row>0</xdr:row>
      <xdr:rowOff>39756</xdr:rowOff>
    </xdr:from>
    <xdr:to>
      <xdr:col>9</xdr:col>
      <xdr:colOff>76826</xdr:colOff>
      <xdr:row>3</xdr:row>
      <xdr:rowOff>83571</xdr:rowOff>
    </xdr:to>
    <xdr:sp macro="" textlink="">
      <xdr:nvSpPr>
        <xdr:cNvPr id="98" name="CaixaDeTexto 97">
          <a:extLst>
            <a:ext uri="{FF2B5EF4-FFF2-40B4-BE49-F238E27FC236}">
              <a16:creationId xmlns:a16="http://schemas.microsoft.com/office/drawing/2014/main" id="{9FFC0790-CF3F-44E8-8981-1C6D8FEC534B}"/>
            </a:ext>
          </a:extLst>
        </xdr:cNvPr>
        <xdr:cNvSpPr txBox="1"/>
      </xdr:nvSpPr>
      <xdr:spPr>
        <a:xfrm>
          <a:off x="157601" y="39756"/>
          <a:ext cx="5405625" cy="600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2800" b="1">
              <a:solidFill>
                <a:schemeClr val="accent1">
                  <a:lumMod val="50000"/>
                </a:schemeClr>
              </a:solidFill>
            </a:rPr>
            <a:t>Planejamento Estratégico 2026</a:t>
          </a:r>
        </a:p>
      </xdr:txBody>
    </xdr:sp>
    <xdr:clientData/>
  </xdr:twoCellAnchor>
  <xdr:twoCellAnchor>
    <xdr:from>
      <xdr:col>4</xdr:col>
      <xdr:colOff>82550</xdr:colOff>
      <xdr:row>22</xdr:row>
      <xdr:rowOff>45720</xdr:rowOff>
    </xdr:from>
    <xdr:to>
      <xdr:col>6</xdr:col>
      <xdr:colOff>6350</xdr:colOff>
      <xdr:row>26</xdr:row>
      <xdr:rowOff>152400</xdr:rowOff>
    </xdr:to>
    <xdr:grpSp>
      <xdr:nvGrpSpPr>
        <xdr:cNvPr id="21" name="Agrupar 20">
          <a:extLst>
            <a:ext uri="{FF2B5EF4-FFF2-40B4-BE49-F238E27FC236}">
              <a16:creationId xmlns:a16="http://schemas.microsoft.com/office/drawing/2014/main" id="{D5D3D606-3302-A0FB-ACA7-044585B7C2F7}"/>
            </a:ext>
          </a:extLst>
        </xdr:cNvPr>
        <xdr:cNvGrpSpPr/>
      </xdr:nvGrpSpPr>
      <xdr:grpSpPr>
        <a:xfrm>
          <a:off x="2764790" y="4292600"/>
          <a:ext cx="1264920" cy="878840"/>
          <a:chOff x="2171700" y="4097020"/>
          <a:chExt cx="1143000" cy="843280"/>
        </a:xfrm>
      </xdr:grpSpPr>
      <xdr:grpSp>
        <xdr:nvGrpSpPr>
          <xdr:cNvPr id="10" name="Agrupar 9">
            <a:extLst>
              <a:ext uri="{FF2B5EF4-FFF2-40B4-BE49-F238E27FC236}">
                <a16:creationId xmlns:a16="http://schemas.microsoft.com/office/drawing/2014/main" id="{A480D8C4-EB17-425D-B25D-2EC8D181B6B4}"/>
              </a:ext>
            </a:extLst>
          </xdr:cNvPr>
          <xdr:cNvGrpSpPr/>
        </xdr:nvGrpSpPr>
        <xdr:grpSpPr>
          <a:xfrm>
            <a:off x="2171700" y="4097020"/>
            <a:ext cx="1143000" cy="843280"/>
            <a:chOff x="2171700" y="4097020"/>
            <a:chExt cx="1143000" cy="843280"/>
          </a:xfrm>
        </xdr:grpSpPr>
        <xdr:cxnSp macro="">
          <xdr:nvCxnSpPr>
            <xdr:cNvPr id="90" name="Conector reto 89">
              <a:extLst>
                <a:ext uri="{FF2B5EF4-FFF2-40B4-BE49-F238E27FC236}">
                  <a16:creationId xmlns:a16="http://schemas.microsoft.com/office/drawing/2014/main" id="{70BA410A-B92D-474A-BA67-ED40A83ADBB1}"/>
                </a:ext>
              </a:extLst>
            </xdr:cNvPr>
            <xdr:cNvCxnSpPr/>
          </xdr:nvCxnSpPr>
          <xdr:spPr>
            <a:xfrm flipV="1">
              <a:off x="2651760" y="4572000"/>
              <a:ext cx="0" cy="24638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grpSp>
          <xdr:nvGrpSpPr>
            <xdr:cNvPr id="9" name="Agrupar 8">
              <a:extLst>
                <a:ext uri="{FF2B5EF4-FFF2-40B4-BE49-F238E27FC236}">
                  <a16:creationId xmlns:a16="http://schemas.microsoft.com/office/drawing/2014/main" id="{3B68E0AA-072D-C5D5-648E-75FF73DE6810}"/>
                </a:ext>
              </a:extLst>
            </xdr:cNvPr>
            <xdr:cNvGrpSpPr/>
          </xdr:nvGrpSpPr>
          <xdr:grpSpPr>
            <a:xfrm>
              <a:off x="2171700" y="4097020"/>
              <a:ext cx="1143000" cy="843280"/>
              <a:chOff x="2171700" y="4097020"/>
              <a:chExt cx="1143000" cy="843280"/>
            </a:xfrm>
          </xdr:grpSpPr>
          <xdr:grpSp>
            <xdr:nvGrpSpPr>
              <xdr:cNvPr id="69" name="Agrupar 68">
                <a:extLst>
                  <a:ext uri="{FF2B5EF4-FFF2-40B4-BE49-F238E27FC236}">
                    <a16:creationId xmlns:a16="http://schemas.microsoft.com/office/drawing/2014/main" id="{04682953-1A52-4D0B-87BD-AAE96AC2912A}"/>
                  </a:ext>
                </a:extLst>
              </xdr:cNvPr>
              <xdr:cNvGrpSpPr/>
            </xdr:nvGrpSpPr>
            <xdr:grpSpPr>
              <a:xfrm>
                <a:off x="2171700" y="4097020"/>
                <a:ext cx="1021080" cy="812800"/>
                <a:chOff x="5935980" y="1135380"/>
                <a:chExt cx="1021080" cy="807720"/>
              </a:xfrm>
            </xdr:grpSpPr>
            <xdr:sp macro="" textlink="">
              <xdr:nvSpPr>
                <xdr:cNvPr id="70" name="CaixaDeTexto 69">
                  <a:extLst>
                    <a:ext uri="{FF2B5EF4-FFF2-40B4-BE49-F238E27FC236}">
                      <a16:creationId xmlns:a16="http://schemas.microsoft.com/office/drawing/2014/main" id="{51DC23C2-4209-8A3D-CD9B-3F7B879F1ED8}"/>
                    </a:ext>
                  </a:extLst>
                </xdr:cNvPr>
                <xdr:cNvSpPr txBox="1"/>
              </xdr:nvSpPr>
              <xdr:spPr>
                <a:xfrm>
                  <a:off x="5935980" y="1135380"/>
                  <a:ext cx="102108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Total de</a:t>
                  </a:r>
                  <a:r>
                    <a:rPr lang="pt-BR" sz="1100" baseline="0"/>
                    <a:t> Iniciativas</a:t>
                  </a:r>
                  <a:endParaRPr lang="pt-BR" sz="1100"/>
                </a:p>
              </xdr:txBody>
            </xdr:sp>
            <xdr:sp macro="" textlink="Apoio!D3">
              <xdr:nvSpPr>
                <xdr:cNvPr id="71" name="CaixaDeTexto 70">
                  <a:extLst>
                    <a:ext uri="{FF2B5EF4-FFF2-40B4-BE49-F238E27FC236}">
                      <a16:creationId xmlns:a16="http://schemas.microsoft.com/office/drawing/2014/main" id="{CAE32827-5521-AA31-FE69-71FC15B46000}"/>
                    </a:ext>
                  </a:extLst>
                </xdr:cNvPr>
                <xdr:cNvSpPr txBox="1"/>
              </xdr:nvSpPr>
              <xdr:spPr>
                <a:xfrm>
                  <a:off x="5943600" y="1516380"/>
                  <a:ext cx="48133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39E1F63-9536-4F64-9482-6685A19BD60D}" type="TxLink">
                    <a:rPr lang="en-US" sz="2000" b="1" i="0" u="none" strike="noStrike">
                      <a:solidFill>
                        <a:srgbClr val="000000"/>
                      </a:solidFill>
                      <a:latin typeface="Calibri"/>
                      <a:ea typeface="Calibri"/>
                      <a:cs typeface="Calibri"/>
                    </a:rPr>
                    <a:pPr/>
                    <a:t>54</a:t>
                  </a:fld>
                  <a:endParaRPr lang="pt-BR" sz="4000" b="1">
                    <a:solidFill>
                      <a:schemeClr val="tx1"/>
                    </a:solidFill>
                  </a:endParaRPr>
                </a:p>
              </xdr:txBody>
            </xdr:sp>
          </xdr:grpSp>
          <xdr:sp macro="" textlink="Apoio!E3">
            <xdr:nvSpPr>
              <xdr:cNvPr id="91" name="CaixaDeTexto 90">
                <a:extLst>
                  <a:ext uri="{FF2B5EF4-FFF2-40B4-BE49-F238E27FC236}">
                    <a16:creationId xmlns:a16="http://schemas.microsoft.com/office/drawing/2014/main" id="{CD62423E-AD1A-480A-9EC3-AE07A17AF1FD}"/>
                  </a:ext>
                </a:extLst>
              </xdr:cNvPr>
              <xdr:cNvSpPr txBox="1"/>
            </xdr:nvSpPr>
            <xdr:spPr>
              <a:xfrm>
                <a:off x="2667000" y="4611370"/>
                <a:ext cx="647700" cy="328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C897960-5DC0-45FD-BCAB-01DD6A80FCA1}" type="TxLink">
                  <a:rPr lang="en-US" sz="1200" b="0" i="1" u="none" strike="noStrike">
                    <a:solidFill>
                      <a:srgbClr val="000000"/>
                    </a:solidFill>
                    <a:latin typeface="Calibri"/>
                    <a:ea typeface="Calibri"/>
                    <a:cs typeface="Calibri"/>
                  </a:rPr>
                  <a:pPr/>
                  <a:t>81%</a:t>
                </a:fld>
                <a:endParaRPr lang="pt-BR" sz="4800" i="1">
                  <a:solidFill>
                    <a:schemeClr val="tx1"/>
                  </a:solidFill>
                </a:endParaRPr>
              </a:p>
            </xdr:txBody>
          </xdr:sp>
        </xdr:grpSp>
      </xdr:grpSp>
      <xdr:cxnSp macro="">
        <xdr:nvCxnSpPr>
          <xdr:cNvPr id="102" name="Conector reto 101">
            <a:extLst>
              <a:ext uri="{FF2B5EF4-FFF2-40B4-BE49-F238E27FC236}">
                <a16:creationId xmlns:a16="http://schemas.microsoft.com/office/drawing/2014/main" id="{C164F946-C076-4EB3-A0BA-4D4F295828A8}"/>
              </a:ext>
            </a:extLst>
          </xdr:cNvPr>
          <xdr:cNvCxnSpPr/>
        </xdr:nvCxnSpPr>
        <xdr:spPr>
          <a:xfrm flipH="1">
            <a:off x="2255520" y="4533900"/>
            <a:ext cx="792480" cy="0"/>
          </a:xfrm>
          <a:prstGeom prst="line">
            <a:avLst/>
          </a:prstGeom>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7</xdr:col>
      <xdr:colOff>510540</xdr:colOff>
      <xdr:row>22</xdr:row>
      <xdr:rowOff>58420</xdr:rowOff>
    </xdr:from>
    <xdr:to>
      <xdr:col>9</xdr:col>
      <xdr:colOff>426720</xdr:colOff>
      <xdr:row>26</xdr:row>
      <xdr:rowOff>165100</xdr:rowOff>
    </xdr:to>
    <xdr:grpSp>
      <xdr:nvGrpSpPr>
        <xdr:cNvPr id="29" name="Agrupar 28">
          <a:extLst>
            <a:ext uri="{FF2B5EF4-FFF2-40B4-BE49-F238E27FC236}">
              <a16:creationId xmlns:a16="http://schemas.microsoft.com/office/drawing/2014/main" id="{3A22C967-BDEC-6B2D-3269-9A7CC3F8DA11}"/>
            </a:ext>
          </a:extLst>
        </xdr:cNvPr>
        <xdr:cNvGrpSpPr/>
      </xdr:nvGrpSpPr>
      <xdr:grpSpPr>
        <a:xfrm>
          <a:off x="5204460" y="4305300"/>
          <a:ext cx="1257300" cy="878840"/>
          <a:chOff x="4053840" y="4097020"/>
          <a:chExt cx="1135380" cy="843280"/>
        </a:xfrm>
      </xdr:grpSpPr>
      <xdr:cxnSp macro="">
        <xdr:nvCxnSpPr>
          <xdr:cNvPr id="92" name="Conector reto 91">
            <a:extLst>
              <a:ext uri="{FF2B5EF4-FFF2-40B4-BE49-F238E27FC236}">
                <a16:creationId xmlns:a16="http://schemas.microsoft.com/office/drawing/2014/main" id="{7BF230CB-3B91-4AF3-9AD2-D0FDDB317EEB}"/>
              </a:ext>
            </a:extLst>
          </xdr:cNvPr>
          <xdr:cNvCxnSpPr/>
        </xdr:nvCxnSpPr>
        <xdr:spPr>
          <a:xfrm flipV="1">
            <a:off x="4526280" y="4572000"/>
            <a:ext cx="0" cy="246380"/>
          </a:xfrm>
          <a:prstGeom prst="line">
            <a:avLst/>
          </a:prstGeom>
          <a:ln>
            <a:prstDash val="dash"/>
          </a:ln>
        </xdr:spPr>
        <xdr:style>
          <a:lnRef idx="1">
            <a:schemeClr val="accent1"/>
          </a:lnRef>
          <a:fillRef idx="0">
            <a:schemeClr val="accent1"/>
          </a:fillRef>
          <a:effectRef idx="0">
            <a:schemeClr val="accent1"/>
          </a:effectRef>
          <a:fontRef idx="minor">
            <a:schemeClr val="tx1"/>
          </a:fontRef>
        </xdr:style>
      </xdr:cxnSp>
      <xdr:grpSp>
        <xdr:nvGrpSpPr>
          <xdr:cNvPr id="26" name="Agrupar 25">
            <a:extLst>
              <a:ext uri="{FF2B5EF4-FFF2-40B4-BE49-F238E27FC236}">
                <a16:creationId xmlns:a16="http://schemas.microsoft.com/office/drawing/2014/main" id="{105BFFB6-D64B-B73D-A3CC-2550B91D7792}"/>
              </a:ext>
            </a:extLst>
          </xdr:cNvPr>
          <xdr:cNvGrpSpPr/>
        </xdr:nvGrpSpPr>
        <xdr:grpSpPr>
          <a:xfrm>
            <a:off x="4053840" y="4097020"/>
            <a:ext cx="1135380" cy="843280"/>
            <a:chOff x="4053840" y="4097020"/>
            <a:chExt cx="1135380" cy="843280"/>
          </a:xfrm>
        </xdr:grpSpPr>
        <xdr:grpSp>
          <xdr:nvGrpSpPr>
            <xdr:cNvPr id="73" name="Agrupar 72">
              <a:extLst>
                <a:ext uri="{FF2B5EF4-FFF2-40B4-BE49-F238E27FC236}">
                  <a16:creationId xmlns:a16="http://schemas.microsoft.com/office/drawing/2014/main" id="{A399CB5A-090E-4568-AAAC-D89F1D8BCAC6}"/>
                </a:ext>
              </a:extLst>
            </xdr:cNvPr>
            <xdr:cNvGrpSpPr/>
          </xdr:nvGrpSpPr>
          <xdr:grpSpPr>
            <a:xfrm>
              <a:off x="4053840" y="4097020"/>
              <a:ext cx="1036320" cy="805180"/>
              <a:chOff x="5920740" y="1135380"/>
              <a:chExt cx="1036320" cy="800100"/>
            </a:xfrm>
          </xdr:grpSpPr>
          <xdr:sp macro="" textlink="">
            <xdr:nvSpPr>
              <xdr:cNvPr id="74" name="CaixaDeTexto 73">
                <a:extLst>
                  <a:ext uri="{FF2B5EF4-FFF2-40B4-BE49-F238E27FC236}">
                    <a16:creationId xmlns:a16="http://schemas.microsoft.com/office/drawing/2014/main" id="{EF5D820D-A5F8-0F22-BBEA-2D57E4357AFB}"/>
                  </a:ext>
                </a:extLst>
              </xdr:cNvPr>
              <xdr:cNvSpPr txBox="1"/>
            </xdr:nvSpPr>
            <xdr:spPr>
              <a:xfrm>
                <a:off x="5935980" y="1135380"/>
                <a:ext cx="1021080" cy="5105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a:t>Total de</a:t>
                </a:r>
                <a:r>
                  <a:rPr lang="pt-BR" sz="1100" baseline="0"/>
                  <a:t> Iniciativas</a:t>
                </a:r>
                <a:endParaRPr lang="pt-BR" sz="1100"/>
              </a:p>
            </xdr:txBody>
          </xdr:sp>
          <xdr:sp macro="" textlink="Apoio!D4">
            <xdr:nvSpPr>
              <xdr:cNvPr id="75" name="CaixaDeTexto 74">
                <a:extLst>
                  <a:ext uri="{FF2B5EF4-FFF2-40B4-BE49-F238E27FC236}">
                    <a16:creationId xmlns:a16="http://schemas.microsoft.com/office/drawing/2014/main" id="{0A6A9DE6-4DDC-FAA9-9E04-2C407AD4FB75}"/>
                  </a:ext>
                </a:extLst>
              </xdr:cNvPr>
              <xdr:cNvSpPr txBox="1"/>
            </xdr:nvSpPr>
            <xdr:spPr>
              <a:xfrm>
                <a:off x="5920740" y="1508760"/>
                <a:ext cx="461010" cy="42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AC88BB1-714A-44F4-907D-FA32CF7B63D1}" type="TxLink">
                  <a:rPr lang="en-US" sz="2000" b="1" i="0" u="none" strike="noStrike">
                    <a:solidFill>
                      <a:srgbClr val="000000"/>
                    </a:solidFill>
                    <a:latin typeface="Calibri"/>
                    <a:ea typeface="Calibri"/>
                    <a:cs typeface="Calibri"/>
                  </a:rPr>
                  <a:pPr/>
                  <a:t>54</a:t>
                </a:fld>
                <a:endParaRPr lang="pt-BR" sz="4000" b="1">
                  <a:solidFill>
                    <a:schemeClr val="tx1"/>
                  </a:solidFill>
                </a:endParaRPr>
              </a:p>
            </xdr:txBody>
          </xdr:sp>
        </xdr:grpSp>
        <xdr:sp macro="" textlink="Apoio!E4">
          <xdr:nvSpPr>
            <xdr:cNvPr id="93" name="CaixaDeTexto 92">
              <a:extLst>
                <a:ext uri="{FF2B5EF4-FFF2-40B4-BE49-F238E27FC236}">
                  <a16:creationId xmlns:a16="http://schemas.microsoft.com/office/drawing/2014/main" id="{CF93D6EF-ACD2-4BC5-B5BB-42F8A6B03F36}"/>
                </a:ext>
              </a:extLst>
            </xdr:cNvPr>
            <xdr:cNvSpPr txBox="1"/>
          </xdr:nvSpPr>
          <xdr:spPr>
            <a:xfrm>
              <a:off x="4541520" y="4611370"/>
              <a:ext cx="647700" cy="3289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9B2DE5D-BD15-4B49-A300-B86D48F46104}" type="TxLink">
                <a:rPr lang="en-US" sz="1200" b="0" i="1" u="none" strike="noStrike">
                  <a:solidFill>
                    <a:srgbClr val="000000"/>
                  </a:solidFill>
                  <a:latin typeface="Calibri"/>
                  <a:ea typeface="Calibri"/>
                  <a:cs typeface="Calibri"/>
                </a:rPr>
                <a:pPr/>
                <a:t>81%</a:t>
              </a:fld>
              <a:endParaRPr lang="pt-BR" sz="4800" i="1">
                <a:solidFill>
                  <a:schemeClr val="tx1"/>
                </a:solidFill>
              </a:endParaRPr>
            </a:p>
          </xdr:txBody>
        </xdr:sp>
        <xdr:cxnSp macro="">
          <xdr:nvCxnSpPr>
            <xdr:cNvPr id="103" name="Conector reto 102">
              <a:extLst>
                <a:ext uri="{FF2B5EF4-FFF2-40B4-BE49-F238E27FC236}">
                  <a16:creationId xmlns:a16="http://schemas.microsoft.com/office/drawing/2014/main" id="{0E8A32B0-8FD0-47A8-AEAA-928C93FE38E3}"/>
                </a:ext>
              </a:extLst>
            </xdr:cNvPr>
            <xdr:cNvCxnSpPr/>
          </xdr:nvCxnSpPr>
          <xdr:spPr>
            <a:xfrm flipH="1">
              <a:off x="4160520" y="4533900"/>
              <a:ext cx="792480" cy="0"/>
            </a:xfrm>
            <a:prstGeom prst="line">
              <a:avLst/>
            </a:prstGeom>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oneCell">
    <xdr:from>
      <xdr:col>9</xdr:col>
      <xdr:colOff>315262</xdr:colOff>
      <xdr:row>0</xdr:row>
      <xdr:rowOff>45757</xdr:rowOff>
    </xdr:from>
    <xdr:to>
      <xdr:col>13</xdr:col>
      <xdr:colOff>73746</xdr:colOff>
      <xdr:row>3</xdr:row>
      <xdr:rowOff>30385</xdr:rowOff>
    </xdr:to>
    <xdr:pic macro="[0]!Amplia">
      <xdr:nvPicPr>
        <xdr:cNvPr id="8" name="Google Shape;784;p49" title="LogoColorHorizontal.png">
          <a:extLst>
            <a:ext uri="{FF2B5EF4-FFF2-40B4-BE49-F238E27FC236}">
              <a16:creationId xmlns:a16="http://schemas.microsoft.com/office/drawing/2014/main" id="{E1D2748D-8467-4EF7-81E3-97FB9C920DD1}"/>
            </a:ext>
          </a:extLst>
        </xdr:cNvPr>
        <xdr:cNvPicPr preferRelativeResize="0"/>
      </xdr:nvPicPr>
      <xdr:blipFill>
        <a:blip xmlns:r="http://schemas.openxmlformats.org/officeDocument/2006/relationships" r:embed="rId1">
          <a:alphaModFix/>
        </a:blip>
        <a:stretch>
          <a:fillRect/>
        </a:stretch>
      </xdr:blipFill>
      <xdr:spPr>
        <a:xfrm>
          <a:off x="5828556" y="45757"/>
          <a:ext cx="2208837" cy="522510"/>
        </a:xfrm>
        <a:prstGeom prst="rect">
          <a:avLst/>
        </a:prstGeom>
        <a:noFill/>
        <a:ln>
          <a:noFill/>
        </a:ln>
      </xdr:spPr>
    </xdr:pic>
    <xdr:clientData/>
  </xdr:twoCellAnchor>
  <xdr:twoCellAnchor>
    <xdr:from>
      <xdr:col>14</xdr:col>
      <xdr:colOff>61232</xdr:colOff>
      <xdr:row>0</xdr:row>
      <xdr:rowOff>149678</xdr:rowOff>
    </xdr:from>
    <xdr:to>
      <xdr:col>16</xdr:col>
      <xdr:colOff>503464</xdr:colOff>
      <xdr:row>22</xdr:row>
      <xdr:rowOff>59634</xdr:rowOff>
    </xdr:to>
    <xdr:grpSp>
      <xdr:nvGrpSpPr>
        <xdr:cNvPr id="84" name="Agrupar 83">
          <a:extLst>
            <a:ext uri="{FF2B5EF4-FFF2-40B4-BE49-F238E27FC236}">
              <a16:creationId xmlns:a16="http://schemas.microsoft.com/office/drawing/2014/main" id="{A7EE91DA-D060-18EB-7ECD-0656186EED1D}"/>
            </a:ext>
          </a:extLst>
        </xdr:cNvPr>
        <xdr:cNvGrpSpPr/>
      </xdr:nvGrpSpPr>
      <xdr:grpSpPr>
        <a:xfrm>
          <a:off x="9449072" y="149678"/>
          <a:ext cx="1783352" cy="4156836"/>
          <a:chOff x="8595632" y="149678"/>
          <a:chExt cx="1661432" cy="3961256"/>
        </a:xfrm>
      </xdr:grpSpPr>
      <xdr:pic>
        <xdr:nvPicPr>
          <xdr:cNvPr id="62" name="Imagem 61">
            <a:hlinkClick xmlns:r="http://schemas.openxmlformats.org/officeDocument/2006/relationships" r:id="rId2"/>
            <a:extLst>
              <a:ext uri="{FF2B5EF4-FFF2-40B4-BE49-F238E27FC236}">
                <a16:creationId xmlns:a16="http://schemas.microsoft.com/office/drawing/2014/main" id="{B4A8DD30-A2FB-A2C9-609A-37AA0EDC501F}"/>
              </a:ext>
            </a:extLst>
          </xdr:cNvPr>
          <xdr:cNvPicPr>
            <a:picLocks noChangeAspect="1"/>
          </xdr:cNvPicPr>
        </xdr:nvPicPr>
        <xdr:blipFill>
          <a:blip xmlns:r="http://schemas.openxmlformats.org/officeDocument/2006/relationships" r:embed="rId3"/>
          <a:stretch>
            <a:fillRect/>
          </a:stretch>
        </xdr:blipFill>
        <xdr:spPr>
          <a:xfrm>
            <a:off x="8806543" y="551262"/>
            <a:ext cx="1237862" cy="853450"/>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sp macro="" textlink="">
        <xdr:nvSpPr>
          <xdr:cNvPr id="72" name="Retângulo 71">
            <a:extLst>
              <a:ext uri="{FF2B5EF4-FFF2-40B4-BE49-F238E27FC236}">
                <a16:creationId xmlns:a16="http://schemas.microsoft.com/office/drawing/2014/main" id="{199F9B4E-10F1-E06E-AADC-F73EA940D958}"/>
              </a:ext>
            </a:extLst>
          </xdr:cNvPr>
          <xdr:cNvSpPr/>
        </xdr:nvSpPr>
        <xdr:spPr>
          <a:xfrm>
            <a:off x="8595632" y="149678"/>
            <a:ext cx="1661432" cy="3961256"/>
          </a:xfrm>
          <a:prstGeom prst="rect">
            <a:avLst/>
          </a:prstGeom>
          <a:noFill/>
          <a:ln w="63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6" name="CaixaDeTexto 75">
            <a:extLst>
              <a:ext uri="{FF2B5EF4-FFF2-40B4-BE49-F238E27FC236}">
                <a16:creationId xmlns:a16="http://schemas.microsoft.com/office/drawing/2014/main" id="{7D1736F2-6135-46D4-9415-90F99619C3C1}"/>
              </a:ext>
            </a:extLst>
          </xdr:cNvPr>
          <xdr:cNvSpPr txBox="1"/>
        </xdr:nvSpPr>
        <xdr:spPr>
          <a:xfrm>
            <a:off x="8724899" y="197757"/>
            <a:ext cx="141650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200" b="1">
                <a:solidFill>
                  <a:schemeClr val="accent1">
                    <a:lumMod val="50000"/>
                  </a:schemeClr>
                </a:solidFill>
              </a:rPr>
              <a:t>Portfólio</a:t>
            </a:r>
            <a:r>
              <a:rPr lang="pt-BR" sz="1200" b="1" baseline="0">
                <a:solidFill>
                  <a:schemeClr val="accent1">
                    <a:lumMod val="50000"/>
                  </a:schemeClr>
                </a:solidFill>
              </a:rPr>
              <a:t> Iniciativas</a:t>
            </a:r>
            <a:endParaRPr lang="pt-BR" sz="1200" b="1">
              <a:solidFill>
                <a:schemeClr val="accent1">
                  <a:lumMod val="50000"/>
                </a:schemeClr>
              </a:solidFill>
            </a:endParaRPr>
          </a:p>
        </xdr:txBody>
      </xdr:sp>
      <xdr:pic>
        <xdr:nvPicPr>
          <xdr:cNvPr id="80" name="Imagem 79">
            <a:hlinkClick xmlns:r="http://schemas.openxmlformats.org/officeDocument/2006/relationships" r:id="rId4"/>
            <a:extLst>
              <a:ext uri="{FF2B5EF4-FFF2-40B4-BE49-F238E27FC236}">
                <a16:creationId xmlns:a16="http://schemas.microsoft.com/office/drawing/2014/main" id="{D8FD1F13-7994-1145-ADA5-01A7E544DC8F}"/>
              </a:ext>
            </a:extLst>
          </xdr:cNvPr>
          <xdr:cNvPicPr>
            <a:picLocks noChangeAspect="1"/>
          </xdr:cNvPicPr>
        </xdr:nvPicPr>
        <xdr:blipFill>
          <a:blip xmlns:r="http://schemas.openxmlformats.org/officeDocument/2006/relationships" r:embed="rId5"/>
          <a:stretch>
            <a:fillRect/>
          </a:stretch>
        </xdr:blipFill>
        <xdr:spPr>
          <a:xfrm>
            <a:off x="8839483" y="1837354"/>
            <a:ext cx="1225543" cy="84013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sp macro="" textlink="">
        <xdr:nvSpPr>
          <xdr:cNvPr id="81" name="CaixaDeTexto 80">
            <a:extLst>
              <a:ext uri="{FF2B5EF4-FFF2-40B4-BE49-F238E27FC236}">
                <a16:creationId xmlns:a16="http://schemas.microsoft.com/office/drawing/2014/main" id="{A6973BA5-6BFF-496D-A83F-A708F5CDF5DF}"/>
              </a:ext>
            </a:extLst>
          </xdr:cNvPr>
          <xdr:cNvSpPr txBox="1"/>
        </xdr:nvSpPr>
        <xdr:spPr>
          <a:xfrm>
            <a:off x="8716616" y="1531356"/>
            <a:ext cx="1416504" cy="279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solidFill>
                  <a:schemeClr val="accent1">
                    <a:lumMod val="50000"/>
                  </a:schemeClr>
                </a:solidFill>
              </a:rPr>
              <a:t>Painel Priorização</a:t>
            </a:r>
          </a:p>
        </xdr:txBody>
      </xdr:sp>
      <xdr:pic>
        <xdr:nvPicPr>
          <xdr:cNvPr id="82" name="Imagem 81">
            <a:hlinkClick xmlns:r="http://schemas.openxmlformats.org/officeDocument/2006/relationships" r:id="rId6"/>
            <a:extLst>
              <a:ext uri="{FF2B5EF4-FFF2-40B4-BE49-F238E27FC236}">
                <a16:creationId xmlns:a16="http://schemas.microsoft.com/office/drawing/2014/main" id="{45141002-449F-7E92-FAC4-163578CE1FCE}"/>
              </a:ext>
            </a:extLst>
          </xdr:cNvPr>
          <xdr:cNvPicPr>
            <a:picLocks noChangeAspect="1"/>
          </xdr:cNvPicPr>
        </xdr:nvPicPr>
        <xdr:blipFill>
          <a:blip xmlns:r="http://schemas.openxmlformats.org/officeDocument/2006/relationships" r:embed="rId7"/>
          <a:stretch>
            <a:fillRect/>
          </a:stretch>
        </xdr:blipFill>
        <xdr:spPr>
          <a:xfrm>
            <a:off x="8832573" y="3070775"/>
            <a:ext cx="1245706" cy="82287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sp macro="" textlink="">
        <xdr:nvSpPr>
          <xdr:cNvPr id="83" name="CaixaDeTexto 82">
            <a:extLst>
              <a:ext uri="{FF2B5EF4-FFF2-40B4-BE49-F238E27FC236}">
                <a16:creationId xmlns:a16="http://schemas.microsoft.com/office/drawing/2014/main" id="{1D7AE1B8-23BE-4E03-ACDB-4580277A9F0E}"/>
              </a:ext>
            </a:extLst>
          </xdr:cNvPr>
          <xdr:cNvSpPr txBox="1"/>
        </xdr:nvSpPr>
        <xdr:spPr>
          <a:xfrm>
            <a:off x="8703364" y="2774023"/>
            <a:ext cx="1416504" cy="2794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1200" b="1">
                <a:solidFill>
                  <a:schemeClr val="accent1">
                    <a:lumMod val="50000"/>
                  </a:schemeClr>
                </a:solidFill>
              </a:rPr>
              <a:t>Performance</a:t>
            </a:r>
          </a:p>
        </xdr:txBody>
      </xdr:sp>
    </xdr:grpSp>
    <xdr:clientData/>
  </xdr:twoCellAnchor>
  <xdr:twoCellAnchor editAs="oneCell">
    <xdr:from>
      <xdr:col>11</xdr:col>
      <xdr:colOff>381000</xdr:colOff>
      <xdr:row>3</xdr:row>
      <xdr:rowOff>144009</xdr:rowOff>
    </xdr:from>
    <xdr:to>
      <xdr:col>13</xdr:col>
      <xdr:colOff>121171</xdr:colOff>
      <xdr:row>11</xdr:row>
      <xdr:rowOff>7076</xdr:rowOff>
    </xdr:to>
    <xdr:pic>
      <xdr:nvPicPr>
        <xdr:cNvPr id="104" name="Imagem 103">
          <a:extLst>
            <a:ext uri="{FF2B5EF4-FFF2-40B4-BE49-F238E27FC236}">
              <a16:creationId xmlns:a16="http://schemas.microsoft.com/office/drawing/2014/main" id="{892B0174-FBE5-CAB2-C8D9-691075ADBB66}"/>
            </a:ext>
          </a:extLst>
        </xdr:cNvPr>
        <xdr:cNvPicPr>
          <a:picLocks noChangeAspect="1"/>
        </xdr:cNvPicPr>
      </xdr:nvPicPr>
      <xdr:blipFill>
        <a:blip xmlns:r="http://schemas.openxmlformats.org/officeDocument/2006/relationships" r:embed="rId8"/>
        <a:stretch>
          <a:fillRect/>
        </a:stretch>
      </xdr:blipFill>
      <xdr:spPr>
        <a:xfrm>
          <a:off x="7086600" y="696459"/>
          <a:ext cx="959371" cy="133626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59361</xdr:colOff>
      <xdr:row>9</xdr:row>
      <xdr:rowOff>162601</xdr:rowOff>
    </xdr:from>
    <xdr:to>
      <xdr:col>0</xdr:col>
      <xdr:colOff>2577962</xdr:colOff>
      <xdr:row>10</xdr:row>
      <xdr:rowOff>347383</xdr:rowOff>
    </xdr:to>
    <xdr:grpSp>
      <xdr:nvGrpSpPr>
        <xdr:cNvPr id="2" name="Agrupar 1">
          <a:extLst>
            <a:ext uri="{FF2B5EF4-FFF2-40B4-BE49-F238E27FC236}">
              <a16:creationId xmlns:a16="http://schemas.microsoft.com/office/drawing/2014/main" id="{18D83A8E-C859-4CBD-A2FD-A46D7C5B1F2E}"/>
            </a:ext>
          </a:extLst>
        </xdr:cNvPr>
        <xdr:cNvGrpSpPr/>
      </xdr:nvGrpSpPr>
      <xdr:grpSpPr>
        <a:xfrm>
          <a:off x="59361" y="1925660"/>
          <a:ext cx="2518601" cy="393958"/>
          <a:chOff x="-897968" y="289851"/>
          <a:chExt cx="2294257" cy="358659"/>
        </a:xfrm>
      </xdr:grpSpPr>
      <xdr:sp macro="" textlink="$X$2">
        <xdr:nvSpPr>
          <xdr:cNvPr id="3" name="CaixaDeTexto 2">
            <a:extLst>
              <a:ext uri="{FF2B5EF4-FFF2-40B4-BE49-F238E27FC236}">
                <a16:creationId xmlns:a16="http://schemas.microsoft.com/office/drawing/2014/main" id="{9B2E11D3-4CAF-496A-B6BA-7D6E6E3452AB}"/>
              </a:ext>
            </a:extLst>
          </xdr:cNvPr>
          <xdr:cNvSpPr txBox="1"/>
        </xdr:nvSpPr>
        <xdr:spPr>
          <a:xfrm>
            <a:off x="332331" y="289851"/>
            <a:ext cx="1063958" cy="358497"/>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1D4F36-4374-4D03-8091-0233C3D16784}" type="TxLink">
              <a:rPr lang="en-US" sz="2000" b="1" i="0" u="none" strike="noStrike">
                <a:solidFill>
                  <a:srgbClr val="FFFFFF"/>
                </a:solidFill>
                <a:latin typeface="Calibri"/>
                <a:ea typeface="Calibri"/>
                <a:cs typeface="Calibri"/>
              </a:rPr>
              <a:pPr algn="ctr"/>
              <a:t>11</a:t>
            </a:fld>
            <a:endParaRPr lang="pt-BR" sz="213200" b="1">
              <a:solidFill>
                <a:schemeClr val="bg1"/>
              </a:solidFill>
            </a:endParaRPr>
          </a:p>
        </xdr:txBody>
      </xdr:sp>
      <xdr:sp macro="" textlink="">
        <xdr:nvSpPr>
          <xdr:cNvPr id="4" name="CaixaDeTexto 3">
            <a:extLst>
              <a:ext uri="{FF2B5EF4-FFF2-40B4-BE49-F238E27FC236}">
                <a16:creationId xmlns:a16="http://schemas.microsoft.com/office/drawing/2014/main" id="{19AB4A51-8C02-A19B-294C-9927255E2342}"/>
              </a:ext>
            </a:extLst>
          </xdr:cNvPr>
          <xdr:cNvSpPr txBox="1"/>
        </xdr:nvSpPr>
        <xdr:spPr>
          <a:xfrm>
            <a:off x="-897968" y="290545"/>
            <a:ext cx="1308870" cy="357965"/>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alibri"/>
                <a:cs typeface="Calibri"/>
              </a:rPr>
              <a:t>#INICIATIVAS</a:t>
            </a:r>
          </a:p>
        </xdr:txBody>
      </xdr:sp>
    </xdr:grpSp>
    <xdr:clientData/>
  </xdr:twoCellAnchor>
  <xdr:twoCellAnchor editAs="absolute">
    <xdr:from>
      <xdr:col>0</xdr:col>
      <xdr:colOff>9645</xdr:colOff>
      <xdr:row>4</xdr:row>
      <xdr:rowOff>59015</xdr:rowOff>
    </xdr:from>
    <xdr:to>
      <xdr:col>1</xdr:col>
      <xdr:colOff>0</xdr:colOff>
      <xdr:row>6</xdr:row>
      <xdr:rowOff>76599</xdr:rowOff>
    </xdr:to>
    <xdr:sp macro="" textlink="">
      <xdr:nvSpPr>
        <xdr:cNvPr id="5" name="CaixaDeTexto 4">
          <a:extLst>
            <a:ext uri="{FF2B5EF4-FFF2-40B4-BE49-F238E27FC236}">
              <a16:creationId xmlns:a16="http://schemas.microsoft.com/office/drawing/2014/main" id="{3B9A61E8-8991-42D4-BEC2-4967C7F46541}"/>
            </a:ext>
          </a:extLst>
        </xdr:cNvPr>
        <xdr:cNvSpPr txBox="1"/>
      </xdr:nvSpPr>
      <xdr:spPr>
        <a:xfrm>
          <a:off x="9645" y="780910"/>
          <a:ext cx="2594062" cy="3785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600" b="1" i="1"/>
            <a:t>Portfólio de Iniciativas</a:t>
          </a:r>
        </a:p>
      </xdr:txBody>
    </xdr:sp>
    <xdr:clientData/>
  </xdr:twoCellAnchor>
  <xdr:twoCellAnchor editAs="absolute">
    <xdr:from>
      <xdr:col>1</xdr:col>
      <xdr:colOff>19600</xdr:colOff>
      <xdr:row>0</xdr:row>
      <xdr:rowOff>36805</xdr:rowOff>
    </xdr:from>
    <xdr:to>
      <xdr:col>4</xdr:col>
      <xdr:colOff>5238574</xdr:colOff>
      <xdr:row>5</xdr:row>
      <xdr:rowOff>82825</xdr:rowOff>
    </xdr:to>
    <mc:AlternateContent xmlns:mc="http://schemas.openxmlformats.org/markup-compatibility/2006" xmlns:sle15="http://schemas.microsoft.com/office/drawing/2012/slicer">
      <mc:Choice Requires="sle15">
        <xdr:graphicFrame macro="">
          <xdr:nvGraphicFramePr>
            <xdr:cNvPr id="6" name="Área 1">
              <a:extLst>
                <a:ext uri="{FF2B5EF4-FFF2-40B4-BE49-F238E27FC236}">
                  <a16:creationId xmlns:a16="http://schemas.microsoft.com/office/drawing/2014/main" id="{3244E938-8EDF-4626-9457-D7333ED4E9E8}"/>
                </a:ext>
              </a:extLst>
            </xdr:cNvPr>
            <xdr:cNvGraphicFramePr/>
          </xdr:nvGraphicFramePr>
          <xdr:xfrm>
            <a:off x="0" y="0"/>
            <a:ext cx="0" cy="0"/>
          </xdr:xfrm>
          <a:graphic>
            <a:graphicData uri="http://schemas.microsoft.com/office/drawing/2010/slicer">
              <sle:slicer xmlns:sle="http://schemas.microsoft.com/office/drawing/2010/slicer" name="Área 1"/>
            </a:graphicData>
          </a:graphic>
        </xdr:graphicFrame>
      </mc:Choice>
      <mc:Fallback xmlns="">
        <xdr:sp macro="" textlink="">
          <xdr:nvSpPr>
            <xdr:cNvPr id="0" name=""/>
            <xdr:cNvSpPr>
              <a:spLocks noTextEdit="1"/>
            </xdr:cNvSpPr>
          </xdr:nvSpPr>
          <xdr:spPr>
            <a:xfrm>
              <a:off x="2696626" y="36805"/>
              <a:ext cx="6578605" cy="960440"/>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4</xdr:col>
      <xdr:colOff>2956655</xdr:colOff>
      <xdr:row>5</xdr:row>
      <xdr:rowOff>132948</xdr:rowOff>
    </xdr:from>
    <xdr:to>
      <xdr:col>4</xdr:col>
      <xdr:colOff>5227659</xdr:colOff>
      <xdr:row>9</xdr:row>
      <xdr:rowOff>57353</xdr:rowOff>
    </xdr:to>
    <mc:AlternateContent xmlns:mc="http://schemas.openxmlformats.org/markup-compatibility/2006" xmlns:sle15="http://schemas.microsoft.com/office/drawing/2012/slicer">
      <mc:Choice Requires="sle15">
        <xdr:graphicFrame macro="">
          <xdr:nvGraphicFramePr>
            <xdr:cNvPr id="7" name="Projeto x Iniciativa 1">
              <a:extLst>
                <a:ext uri="{FF2B5EF4-FFF2-40B4-BE49-F238E27FC236}">
                  <a16:creationId xmlns:a16="http://schemas.microsoft.com/office/drawing/2014/main" id="{A0B7ED53-3EBA-4181-904F-BF8637CED7E7}"/>
                </a:ext>
              </a:extLst>
            </xdr:cNvPr>
            <xdr:cNvGraphicFramePr/>
          </xdr:nvGraphicFramePr>
          <xdr:xfrm>
            <a:off x="0" y="0"/>
            <a:ext cx="0" cy="0"/>
          </xdr:xfrm>
          <a:graphic>
            <a:graphicData uri="http://schemas.microsoft.com/office/drawing/2010/slicer">
              <sle:slicer xmlns:sle="http://schemas.microsoft.com/office/drawing/2010/slicer" name="Projeto x Iniciativa 1"/>
            </a:graphicData>
          </a:graphic>
        </xdr:graphicFrame>
      </mc:Choice>
      <mc:Fallback xmlns="">
        <xdr:sp macro="" textlink="">
          <xdr:nvSpPr>
            <xdr:cNvPr id="0" name=""/>
            <xdr:cNvSpPr>
              <a:spLocks noTextEdit="1"/>
            </xdr:cNvSpPr>
          </xdr:nvSpPr>
          <xdr:spPr>
            <a:xfrm>
              <a:off x="6985901" y="1044035"/>
              <a:ext cx="2271004" cy="661557"/>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1</xdr:col>
      <xdr:colOff>18879</xdr:colOff>
      <xdr:row>5</xdr:row>
      <xdr:rowOff>138615</xdr:rowOff>
    </xdr:from>
    <xdr:to>
      <xdr:col>4</xdr:col>
      <xdr:colOff>2919427</xdr:colOff>
      <xdr:row>9</xdr:row>
      <xdr:rowOff>65017</xdr:rowOff>
    </xdr:to>
    <mc:AlternateContent xmlns:mc="http://schemas.openxmlformats.org/markup-compatibility/2006" xmlns:sle15="http://schemas.microsoft.com/office/drawing/2012/slicer">
      <mc:Choice Requires="sle15">
        <xdr:graphicFrame macro="">
          <xdr:nvGraphicFramePr>
            <xdr:cNvPr id="8" name="Onde Estamos 1">
              <a:extLst>
                <a:ext uri="{FF2B5EF4-FFF2-40B4-BE49-F238E27FC236}">
                  <a16:creationId xmlns:a16="http://schemas.microsoft.com/office/drawing/2014/main" id="{575F3182-1D3E-49F7-AEF4-553A6028EC08}"/>
                </a:ext>
              </a:extLst>
            </xdr:cNvPr>
            <xdr:cNvGraphicFramePr/>
          </xdr:nvGraphicFramePr>
          <xdr:xfrm>
            <a:off x="0" y="0"/>
            <a:ext cx="0" cy="0"/>
          </xdr:xfrm>
          <a:graphic>
            <a:graphicData uri="http://schemas.microsoft.com/office/drawing/2010/slicer">
              <sle:slicer xmlns:sle="http://schemas.microsoft.com/office/drawing/2010/slicer" name="Onde Estamos 1"/>
            </a:graphicData>
          </a:graphic>
        </xdr:graphicFrame>
      </mc:Choice>
      <mc:Fallback xmlns="">
        <xdr:sp macro="" textlink="">
          <xdr:nvSpPr>
            <xdr:cNvPr id="0" name=""/>
            <xdr:cNvSpPr>
              <a:spLocks noTextEdit="1"/>
            </xdr:cNvSpPr>
          </xdr:nvSpPr>
          <xdr:spPr>
            <a:xfrm>
              <a:off x="2694162" y="1049702"/>
              <a:ext cx="4262794" cy="663554"/>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4</xdr:col>
      <xdr:colOff>5268081</xdr:colOff>
      <xdr:row>0</xdr:row>
      <xdr:rowOff>38249</xdr:rowOff>
    </xdr:from>
    <xdr:to>
      <xdr:col>4</xdr:col>
      <xdr:colOff>6027991</xdr:colOff>
      <xdr:row>9</xdr:row>
      <xdr:rowOff>57660</xdr:rowOff>
    </xdr:to>
    <mc:AlternateContent xmlns:mc="http://schemas.openxmlformats.org/markup-compatibility/2006" xmlns:sle15="http://schemas.microsoft.com/office/drawing/2012/slicer">
      <mc:Choice Requires="sle15">
        <xdr:graphicFrame macro="">
          <xdr:nvGraphicFramePr>
            <xdr:cNvPr id="9" name="QM 1">
              <a:extLst>
                <a:ext uri="{FF2B5EF4-FFF2-40B4-BE49-F238E27FC236}">
                  <a16:creationId xmlns:a16="http://schemas.microsoft.com/office/drawing/2014/main" id="{B6BB1CA6-6A40-432F-A771-C63DBD63A752}"/>
                </a:ext>
              </a:extLst>
            </xdr:cNvPr>
            <xdr:cNvGraphicFramePr/>
          </xdr:nvGraphicFramePr>
          <xdr:xfrm>
            <a:off x="0" y="0"/>
            <a:ext cx="0" cy="0"/>
          </xdr:xfrm>
          <a:graphic>
            <a:graphicData uri="http://schemas.microsoft.com/office/drawing/2010/slicer">
              <sle:slicer xmlns:sle="http://schemas.microsoft.com/office/drawing/2010/slicer" name="QM 1"/>
            </a:graphicData>
          </a:graphic>
        </xdr:graphicFrame>
      </mc:Choice>
      <mc:Fallback xmlns="">
        <xdr:sp macro="" textlink="">
          <xdr:nvSpPr>
            <xdr:cNvPr id="0" name=""/>
            <xdr:cNvSpPr>
              <a:spLocks noTextEdit="1"/>
            </xdr:cNvSpPr>
          </xdr:nvSpPr>
          <xdr:spPr>
            <a:xfrm>
              <a:off x="9304738" y="38249"/>
              <a:ext cx="972282" cy="1653700"/>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fLocksWithSheet="0"/>
  </xdr:twoCellAnchor>
  <xdr:twoCellAnchor editAs="absolute">
    <xdr:from>
      <xdr:col>4</xdr:col>
      <xdr:colOff>6066583</xdr:colOff>
      <xdr:row>0</xdr:row>
      <xdr:rowOff>38279</xdr:rowOff>
    </xdr:from>
    <xdr:to>
      <xdr:col>6</xdr:col>
      <xdr:colOff>59257</xdr:colOff>
      <xdr:row>4</xdr:row>
      <xdr:rowOff>19080</xdr:rowOff>
    </xdr:to>
    <mc:AlternateContent xmlns:mc="http://schemas.openxmlformats.org/markup-compatibility/2006" xmlns:sle15="http://schemas.microsoft.com/office/drawing/2012/slicer">
      <mc:Choice Requires="sle15">
        <xdr:graphicFrame macro="">
          <xdr:nvGraphicFramePr>
            <xdr:cNvPr id="10" name="Ciclo 1">
              <a:extLst>
                <a:ext uri="{FF2B5EF4-FFF2-40B4-BE49-F238E27FC236}">
                  <a16:creationId xmlns:a16="http://schemas.microsoft.com/office/drawing/2014/main" id="{6E1C1948-7A31-419A-BB06-F2B78C30E23E}"/>
                </a:ext>
              </a:extLst>
            </xdr:cNvPr>
            <xdr:cNvGraphicFramePr/>
          </xdr:nvGraphicFramePr>
          <xdr:xfrm>
            <a:off x="0" y="0"/>
            <a:ext cx="0" cy="0"/>
          </xdr:xfrm>
          <a:graphic>
            <a:graphicData uri="http://schemas.microsoft.com/office/drawing/2010/slicer">
              <sle:slicer xmlns:sle="http://schemas.microsoft.com/office/drawing/2010/slicer" name="Ciclo 1"/>
            </a:graphicData>
          </a:graphic>
        </xdr:graphicFrame>
      </mc:Choice>
      <mc:Fallback xmlns="">
        <xdr:sp macro="" textlink="">
          <xdr:nvSpPr>
            <xdr:cNvPr id="0" name=""/>
            <xdr:cNvSpPr>
              <a:spLocks noTextEdit="1"/>
            </xdr:cNvSpPr>
          </xdr:nvSpPr>
          <xdr:spPr>
            <a:xfrm>
              <a:off x="10315612" y="38279"/>
              <a:ext cx="1128463" cy="702696"/>
            </a:xfrm>
            <a:prstGeom prst="rect">
              <a:avLst/>
            </a:prstGeom>
            <a:solidFill>
              <a:prstClr val="white"/>
            </a:solidFill>
            <a:ln w="1">
              <a:solidFill>
                <a:prstClr val="green"/>
              </a:solidFill>
            </a:ln>
          </xdr:spPr>
          <xdr:txBody>
            <a:bodyPr vertOverflow="clip" horzOverflow="clip"/>
            <a:lstStyle/>
            <a:p>
              <a:r>
                <a:rPr lang="pt-BR" sz="1100"/>
                <a:t>Esta forma representa um slicer da tabela. As segmentações de dados da tabela não são suportadas nesta versão do Excel.
Se a forma tiver sido modificada em uma versão anterior do Excel, ou se a pasta de trabalho foi salva no Excel 2007 ou anterior, a segmentação de dados não pode ser usada.</a:t>
              </a:r>
            </a:p>
          </xdr:txBody>
        </xdr:sp>
      </mc:Fallback>
    </mc:AlternateContent>
    <xdr:clientData/>
  </xdr:twoCellAnchor>
  <xdr:twoCellAnchor editAs="absolute">
    <xdr:from>
      <xdr:col>0</xdr:col>
      <xdr:colOff>57294</xdr:colOff>
      <xdr:row>10</xdr:row>
      <xdr:rowOff>484094</xdr:rowOff>
    </xdr:from>
    <xdr:to>
      <xdr:col>1</xdr:col>
      <xdr:colOff>0</xdr:colOff>
      <xdr:row>80</xdr:row>
      <xdr:rowOff>12174</xdr:rowOff>
    </xdr:to>
    <xdr:grpSp>
      <xdr:nvGrpSpPr>
        <xdr:cNvPr id="11" name="Agrupar 11">
          <a:extLst>
            <a:ext uri="{FF2B5EF4-FFF2-40B4-BE49-F238E27FC236}">
              <a16:creationId xmlns:a16="http://schemas.microsoft.com/office/drawing/2014/main" id="{2EAF9AE8-4615-4EFD-9C6D-AB39C8FADB13}"/>
            </a:ext>
          </a:extLst>
        </xdr:cNvPr>
        <xdr:cNvGrpSpPr/>
      </xdr:nvGrpSpPr>
      <xdr:grpSpPr>
        <a:xfrm>
          <a:off x="57294" y="2456329"/>
          <a:ext cx="2916000" cy="3472551"/>
          <a:chOff x="2526030" y="4380547"/>
          <a:chExt cx="2586990" cy="2745105"/>
        </a:xfrm>
      </xdr:grpSpPr>
      <xdr:graphicFrame macro="">
        <xdr:nvGraphicFramePr>
          <xdr:cNvPr id="12" name="Gráfico 13">
            <a:extLst>
              <a:ext uri="{FF2B5EF4-FFF2-40B4-BE49-F238E27FC236}">
                <a16:creationId xmlns:a16="http://schemas.microsoft.com/office/drawing/2014/main" id="{F1CD9281-25C2-DAE0-C5FA-DBD90B8E3D8B}"/>
              </a:ext>
            </a:extLst>
          </xdr:cNvPr>
          <xdr:cNvGraphicFramePr/>
        </xdr:nvGraphicFramePr>
        <xdr:xfrm>
          <a:off x="2526030" y="4380547"/>
          <a:ext cx="2527935" cy="2745105"/>
        </xdr:xfrm>
        <a:graphic>
          <a:graphicData uri="http://schemas.openxmlformats.org/drawingml/2006/chart">
            <c:chart xmlns:c="http://schemas.openxmlformats.org/drawingml/2006/chart" xmlns:r="http://schemas.openxmlformats.org/officeDocument/2006/relationships" r:id="rId1"/>
          </a:graphicData>
        </a:graphic>
      </xdr:graphicFrame>
      <xdr:sp macro="" textlink="$C$25">
        <xdr:nvSpPr>
          <xdr:cNvPr id="13" name="CaixaDeTexto 17">
            <a:extLst>
              <a:ext uri="{FF2B5EF4-FFF2-40B4-BE49-F238E27FC236}">
                <a16:creationId xmlns:a16="http://schemas.microsoft.com/office/drawing/2014/main" id="{2FDCF6BA-3A9F-09F7-BB61-D4039A046101}"/>
              </a:ext>
            </a:extLst>
          </xdr:cNvPr>
          <xdr:cNvSpPr txBox="1"/>
        </xdr:nvSpPr>
        <xdr:spPr>
          <a:xfrm>
            <a:off x="4697731" y="4518659"/>
            <a:ext cx="396239" cy="2457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B79677A-6ED3-4C52-9A26-F7BA9C240CD6}" type="TxLink">
              <a:rPr lang="en-US" sz="900" b="0" i="0" u="none" strike="noStrike">
                <a:solidFill>
                  <a:srgbClr val="000000"/>
                </a:solidFill>
                <a:latin typeface="Calibri"/>
                <a:ea typeface="Calibri"/>
                <a:cs typeface="Calibri"/>
              </a:rPr>
              <a:pPr algn="ctr"/>
              <a:t> </a:t>
            </a:fld>
            <a:endParaRPr lang="pt-BR" sz="900"/>
          </a:p>
        </xdr:txBody>
      </xdr:sp>
      <xdr:sp macro="" textlink="$C$26">
        <xdr:nvSpPr>
          <xdr:cNvPr id="14" name="CaixaDeTexto 18">
            <a:extLst>
              <a:ext uri="{FF2B5EF4-FFF2-40B4-BE49-F238E27FC236}">
                <a16:creationId xmlns:a16="http://schemas.microsoft.com/office/drawing/2014/main" id="{7C9DF3B1-2C86-6E25-25A8-219565944177}"/>
              </a:ext>
            </a:extLst>
          </xdr:cNvPr>
          <xdr:cNvSpPr txBox="1"/>
        </xdr:nvSpPr>
        <xdr:spPr>
          <a:xfrm>
            <a:off x="4697731" y="4775834"/>
            <a:ext cx="400049"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722E704-C8A2-4767-91CF-505B5AE89EBB}" type="TxLink">
              <a:rPr lang="en-US" sz="900" b="0" i="0" u="none" strike="noStrike">
                <a:solidFill>
                  <a:srgbClr val="000000"/>
                </a:solidFill>
                <a:latin typeface="Calibri"/>
                <a:ea typeface="Calibri"/>
                <a:cs typeface="Calibri"/>
              </a:rPr>
              <a:pPr algn="ctr"/>
              <a:t> </a:t>
            </a:fld>
            <a:endParaRPr lang="pt-BR" sz="600"/>
          </a:p>
        </xdr:txBody>
      </xdr:sp>
      <xdr:sp macro="" textlink="$C$27">
        <xdr:nvSpPr>
          <xdr:cNvPr id="15" name="CaixaDeTexto 19">
            <a:extLst>
              <a:ext uri="{FF2B5EF4-FFF2-40B4-BE49-F238E27FC236}">
                <a16:creationId xmlns:a16="http://schemas.microsoft.com/office/drawing/2014/main" id="{D7B6FF28-8FEF-D6F1-EA62-552606D2651E}"/>
              </a:ext>
            </a:extLst>
          </xdr:cNvPr>
          <xdr:cNvSpPr txBox="1"/>
        </xdr:nvSpPr>
        <xdr:spPr>
          <a:xfrm>
            <a:off x="4705351" y="5012054"/>
            <a:ext cx="400049" cy="25527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DC22C88-6D79-4CC4-9EAD-010689D9184F}" type="TxLink">
              <a:rPr lang="en-US" sz="900" b="0" i="0" u="none" strike="noStrike">
                <a:solidFill>
                  <a:srgbClr val="000000"/>
                </a:solidFill>
                <a:latin typeface="Calibri"/>
                <a:ea typeface="Calibri"/>
                <a:cs typeface="Calibri"/>
              </a:rPr>
              <a:pPr algn="ctr"/>
              <a:t> </a:t>
            </a:fld>
            <a:endParaRPr lang="pt-BR" sz="300"/>
          </a:p>
        </xdr:txBody>
      </xdr:sp>
      <xdr:sp macro="" textlink="#REF!">
        <xdr:nvSpPr>
          <xdr:cNvPr id="16" name="CaixaDeTexto 20">
            <a:extLst>
              <a:ext uri="{FF2B5EF4-FFF2-40B4-BE49-F238E27FC236}">
                <a16:creationId xmlns:a16="http://schemas.microsoft.com/office/drawing/2014/main" id="{FB1FE411-CA4A-1BDA-9125-B72D87AAFD3B}"/>
              </a:ext>
            </a:extLst>
          </xdr:cNvPr>
          <xdr:cNvSpPr txBox="1"/>
        </xdr:nvSpPr>
        <xdr:spPr>
          <a:xfrm>
            <a:off x="4692016" y="5242559"/>
            <a:ext cx="411479" cy="2533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F0F19163-76D0-4493-8213-8E056CC1F6ED}" type="TxLink">
              <a:rPr lang="en-US" sz="900" b="0" i="0" u="none" strike="noStrike">
                <a:solidFill>
                  <a:srgbClr val="000000"/>
                </a:solidFill>
                <a:latin typeface="Calibri"/>
                <a:ea typeface="Calibri"/>
                <a:cs typeface="Calibri"/>
              </a:rPr>
              <a:pPr algn="ctr"/>
              <a:t> </a:t>
            </a:fld>
            <a:endParaRPr lang="pt-BR" sz="100"/>
          </a:p>
        </xdr:txBody>
      </xdr:sp>
      <xdr:sp macro="" textlink="$C$28">
        <xdr:nvSpPr>
          <xdr:cNvPr id="17" name="CaixaDeTexto 21">
            <a:extLst>
              <a:ext uri="{FF2B5EF4-FFF2-40B4-BE49-F238E27FC236}">
                <a16:creationId xmlns:a16="http://schemas.microsoft.com/office/drawing/2014/main" id="{D88F9E3C-4277-E41B-5376-4A063601DBA1}"/>
              </a:ext>
            </a:extLst>
          </xdr:cNvPr>
          <xdr:cNvSpPr txBox="1"/>
        </xdr:nvSpPr>
        <xdr:spPr>
          <a:xfrm>
            <a:off x="4688206" y="5497829"/>
            <a:ext cx="419099"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4C834E-9ED8-4FAB-AE1C-290463CF83A8}" type="TxLink">
              <a:rPr lang="en-US" sz="900" b="0" i="0" u="none" strike="noStrike">
                <a:solidFill>
                  <a:srgbClr val="000000"/>
                </a:solidFill>
                <a:latin typeface="Calibri"/>
                <a:ea typeface="Calibri"/>
                <a:cs typeface="Calibri"/>
              </a:rPr>
              <a:pPr algn="ctr"/>
              <a:t> </a:t>
            </a:fld>
            <a:endParaRPr lang="pt-BR" sz="100"/>
          </a:p>
        </xdr:txBody>
      </xdr:sp>
      <xdr:sp macro="" textlink="$C$28">
        <xdr:nvSpPr>
          <xdr:cNvPr id="18" name="CaixaDeTexto 22">
            <a:extLst>
              <a:ext uri="{FF2B5EF4-FFF2-40B4-BE49-F238E27FC236}">
                <a16:creationId xmlns:a16="http://schemas.microsoft.com/office/drawing/2014/main" id="{2557DE3D-F413-0A94-A989-A297F3A77ACC}"/>
              </a:ext>
            </a:extLst>
          </xdr:cNvPr>
          <xdr:cNvSpPr txBox="1"/>
        </xdr:nvSpPr>
        <xdr:spPr>
          <a:xfrm>
            <a:off x="4692016" y="5753099"/>
            <a:ext cx="419099" cy="24003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B4C834E-9ED8-4FAB-AE1C-290463CF83A8}" type="TxLink">
              <a:rPr lang="en-US" sz="900" b="0" i="0" u="none" strike="noStrike">
                <a:solidFill>
                  <a:srgbClr val="000000"/>
                </a:solidFill>
                <a:latin typeface="Calibri"/>
                <a:ea typeface="Calibri"/>
                <a:cs typeface="Calibri"/>
              </a:rPr>
              <a:pPr algn="ctr"/>
              <a:t> </a:t>
            </a:fld>
            <a:endParaRPr lang="pt-BR" sz="100"/>
          </a:p>
        </xdr:txBody>
      </xdr:sp>
      <xdr:sp macro="" textlink="$C$30">
        <xdr:nvSpPr>
          <xdr:cNvPr id="19" name="CaixaDeTexto 23">
            <a:extLst>
              <a:ext uri="{FF2B5EF4-FFF2-40B4-BE49-F238E27FC236}">
                <a16:creationId xmlns:a16="http://schemas.microsoft.com/office/drawing/2014/main" id="{1018E24D-8B42-7A92-BBC2-1401D97FB0DA}"/>
              </a:ext>
            </a:extLst>
          </xdr:cNvPr>
          <xdr:cNvSpPr txBox="1"/>
        </xdr:nvSpPr>
        <xdr:spPr>
          <a:xfrm>
            <a:off x="4692016" y="6012179"/>
            <a:ext cx="419099" cy="23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F1E7A49-3C63-41C7-90A0-27F6FBE3641A}" type="TxLink">
              <a:rPr lang="en-US" sz="900" b="0" i="0" u="none" strike="noStrike">
                <a:solidFill>
                  <a:srgbClr val="000000"/>
                </a:solidFill>
                <a:latin typeface="Calibri"/>
                <a:ea typeface="Calibri"/>
                <a:cs typeface="Calibri"/>
              </a:rPr>
              <a:pPr algn="ctr"/>
              <a:t> </a:t>
            </a:fld>
            <a:endParaRPr lang="pt-BR" sz="100"/>
          </a:p>
        </xdr:txBody>
      </xdr:sp>
      <xdr:sp macro="" textlink="$C$31">
        <xdr:nvSpPr>
          <xdr:cNvPr id="20" name="CaixaDeTexto 24">
            <a:extLst>
              <a:ext uri="{FF2B5EF4-FFF2-40B4-BE49-F238E27FC236}">
                <a16:creationId xmlns:a16="http://schemas.microsoft.com/office/drawing/2014/main" id="{C1307CC6-C820-B812-4C15-E483C3AD8F47}"/>
              </a:ext>
            </a:extLst>
          </xdr:cNvPr>
          <xdr:cNvSpPr txBox="1"/>
        </xdr:nvSpPr>
        <xdr:spPr>
          <a:xfrm>
            <a:off x="4693921" y="6259829"/>
            <a:ext cx="419099" cy="2305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E589ED-13C0-4620-83CD-E14C600F509A}" type="TxLink">
              <a:rPr lang="en-US" sz="900" b="0" i="0" u="none" strike="noStrike">
                <a:solidFill>
                  <a:srgbClr val="000000"/>
                </a:solidFill>
                <a:latin typeface="Calibri"/>
                <a:ea typeface="Calibri"/>
                <a:cs typeface="Calibri"/>
              </a:rPr>
              <a:pPr algn="ctr"/>
              <a:t>u</a:t>
            </a:fld>
            <a:endParaRPr lang="pt-BR" sz="100"/>
          </a:p>
        </xdr:txBody>
      </xdr:sp>
      <xdr:sp macro="" textlink="$C$32">
        <xdr:nvSpPr>
          <xdr:cNvPr id="21" name="CaixaDeTexto 25">
            <a:extLst>
              <a:ext uri="{FF2B5EF4-FFF2-40B4-BE49-F238E27FC236}">
                <a16:creationId xmlns:a16="http://schemas.microsoft.com/office/drawing/2014/main" id="{B0FC4A74-9763-E47C-A540-2FC896C734D8}"/>
              </a:ext>
            </a:extLst>
          </xdr:cNvPr>
          <xdr:cNvSpPr txBox="1"/>
        </xdr:nvSpPr>
        <xdr:spPr>
          <a:xfrm>
            <a:off x="4693921" y="6497954"/>
            <a:ext cx="419099" cy="2362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4768B86-DBC8-4A7E-9866-9A930AD2E96A}" type="TxLink">
              <a:rPr lang="en-US" sz="900" b="0" i="0" u="none" strike="noStrike">
                <a:solidFill>
                  <a:srgbClr val="000000"/>
                </a:solidFill>
                <a:latin typeface="Calibri"/>
                <a:ea typeface="Calibri"/>
                <a:cs typeface="Calibri"/>
              </a:rPr>
              <a:pPr algn="ctr"/>
              <a:t>u</a:t>
            </a:fld>
            <a:endParaRPr lang="pt-BR" sz="100"/>
          </a:p>
        </xdr:txBody>
      </xdr:sp>
      <xdr:sp macro="" textlink="$C$33">
        <xdr:nvSpPr>
          <xdr:cNvPr id="22" name="CaixaDeTexto 26">
            <a:extLst>
              <a:ext uri="{FF2B5EF4-FFF2-40B4-BE49-F238E27FC236}">
                <a16:creationId xmlns:a16="http://schemas.microsoft.com/office/drawing/2014/main" id="{10FABC88-73AB-DC2A-BAD1-7B4B268DA9E9}"/>
              </a:ext>
            </a:extLst>
          </xdr:cNvPr>
          <xdr:cNvSpPr txBox="1"/>
        </xdr:nvSpPr>
        <xdr:spPr>
          <a:xfrm>
            <a:off x="4692016" y="6726554"/>
            <a:ext cx="419099"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B376A26-E421-4579-9CA1-4AAFA9C10F08}" type="TxLink">
              <a:rPr lang="en-US" sz="900" b="0" i="0" u="none" strike="noStrike">
                <a:solidFill>
                  <a:srgbClr val="000000"/>
                </a:solidFill>
                <a:latin typeface="Calibri"/>
                <a:ea typeface="Calibri"/>
                <a:cs typeface="Calibri"/>
              </a:rPr>
              <a:pPr algn="ctr"/>
              <a:t>u</a:t>
            </a:fld>
            <a:endParaRPr lang="pt-BR" sz="100"/>
          </a:p>
        </xdr:txBody>
      </xdr:sp>
    </xdr:grpSp>
    <xdr:clientData/>
  </xdr:twoCellAnchor>
  <xdr:twoCellAnchor editAs="absolute">
    <xdr:from>
      <xdr:col>0</xdr:col>
      <xdr:colOff>173633</xdr:colOff>
      <xdr:row>80</xdr:row>
      <xdr:rowOff>80130</xdr:rowOff>
    </xdr:from>
    <xdr:to>
      <xdr:col>1</xdr:col>
      <xdr:colOff>21463</xdr:colOff>
      <xdr:row>91</xdr:row>
      <xdr:rowOff>28684</xdr:rowOff>
    </xdr:to>
    <xdr:graphicFrame macro="">
      <xdr:nvGraphicFramePr>
        <xdr:cNvPr id="23" name="Gráfico 22">
          <a:extLst>
            <a:ext uri="{FF2B5EF4-FFF2-40B4-BE49-F238E27FC236}">
              <a16:creationId xmlns:a16="http://schemas.microsoft.com/office/drawing/2014/main" id="{042914F6-EE07-4D00-872D-6B492F2A2A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57718</xdr:colOff>
      <xdr:row>0</xdr:row>
      <xdr:rowOff>38583</xdr:rowOff>
    </xdr:from>
    <xdr:to>
      <xdr:col>0</xdr:col>
      <xdr:colOff>1716911</xdr:colOff>
      <xdr:row>4</xdr:row>
      <xdr:rowOff>67520</xdr:rowOff>
    </xdr:to>
    <xdr:sp macro="" textlink="">
      <xdr:nvSpPr>
        <xdr:cNvPr id="24" name="CaixaDeTexto 23">
          <a:extLst>
            <a:ext uri="{FF2B5EF4-FFF2-40B4-BE49-F238E27FC236}">
              <a16:creationId xmlns:a16="http://schemas.microsoft.com/office/drawing/2014/main" id="{14983F64-E9AC-455B-893C-AA2E5F180B13}"/>
            </a:ext>
          </a:extLst>
        </xdr:cNvPr>
        <xdr:cNvSpPr txBox="1"/>
      </xdr:nvSpPr>
      <xdr:spPr>
        <a:xfrm>
          <a:off x="57718" y="38583"/>
          <a:ext cx="1659193" cy="762000"/>
        </a:xfrm>
        <a:prstGeom prst="rect">
          <a:avLst/>
        </a:prstGeom>
        <a:solidFill>
          <a:srgbClr val="FFC01C"/>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pt-BR" sz="2000" b="1"/>
            <a:t>Planejamento Estratégico</a:t>
          </a:r>
        </a:p>
      </xdr:txBody>
    </xdr:sp>
    <xdr:clientData/>
  </xdr:twoCellAnchor>
  <xdr:twoCellAnchor editAs="oneCell">
    <xdr:from>
      <xdr:col>0</xdr:col>
      <xdr:colOff>193289</xdr:colOff>
      <xdr:row>6</xdr:row>
      <xdr:rowOff>87953</xdr:rowOff>
    </xdr:from>
    <xdr:to>
      <xdr:col>0</xdr:col>
      <xdr:colOff>2402126</xdr:colOff>
      <xdr:row>9</xdr:row>
      <xdr:rowOff>59016</xdr:rowOff>
    </xdr:to>
    <xdr:pic macro="[0]!Amplia">
      <xdr:nvPicPr>
        <xdr:cNvPr id="25" name="Google Shape;784;p49" title="LogoColorHorizontal.png">
          <a:extLst>
            <a:ext uri="{FF2B5EF4-FFF2-40B4-BE49-F238E27FC236}">
              <a16:creationId xmlns:a16="http://schemas.microsoft.com/office/drawing/2014/main" id="{69C95ECB-81E3-56E2-E6BC-FCE1B795DE36}"/>
            </a:ext>
          </a:extLst>
        </xdr:cNvPr>
        <xdr:cNvPicPr preferRelativeResize="0"/>
      </xdr:nvPicPr>
      <xdr:blipFill>
        <a:blip xmlns:r="http://schemas.openxmlformats.org/officeDocument/2006/relationships" r:embed="rId3">
          <a:alphaModFix/>
        </a:blip>
        <a:stretch>
          <a:fillRect/>
        </a:stretch>
      </xdr:blipFill>
      <xdr:spPr>
        <a:xfrm>
          <a:off x="193289" y="1170795"/>
          <a:ext cx="2208837" cy="522510"/>
        </a:xfrm>
        <a:prstGeom prst="rect">
          <a:avLst/>
        </a:prstGeom>
        <a:noFill/>
        <a:ln>
          <a:noFill/>
        </a:ln>
      </xdr:spPr>
    </xdr:pic>
    <xdr:clientData/>
  </xdr:twoCellAnchor>
  <xdr:twoCellAnchor editAs="oneCell">
    <xdr:from>
      <xdr:col>10</xdr:col>
      <xdr:colOff>3427</xdr:colOff>
      <xdr:row>7</xdr:row>
      <xdr:rowOff>59919</xdr:rowOff>
    </xdr:from>
    <xdr:to>
      <xdr:col>13</xdr:col>
      <xdr:colOff>8797</xdr:colOff>
      <xdr:row>8</xdr:row>
      <xdr:rowOff>162087</xdr:rowOff>
    </xdr:to>
    <xdr:sp macro="[0]!Carrega_PERT" textlink="">
      <xdr:nvSpPr>
        <xdr:cNvPr id="27" name="Retângulo: Cantos Arredondados 26">
          <a:extLst>
            <a:ext uri="{FF2B5EF4-FFF2-40B4-BE49-F238E27FC236}">
              <a16:creationId xmlns:a16="http://schemas.microsoft.com/office/drawing/2014/main" id="{6C5C879C-E048-4960-36ED-1236D8CA15AC}"/>
            </a:ext>
          </a:extLst>
        </xdr:cNvPr>
        <xdr:cNvSpPr/>
      </xdr:nvSpPr>
      <xdr:spPr>
        <a:xfrm>
          <a:off x="14425398" y="1314978"/>
          <a:ext cx="1551781" cy="292668"/>
        </a:xfrm>
        <a:prstGeom prst="roundRect">
          <a:avLst/>
        </a:prstGeom>
        <a:solidFill>
          <a:srgbClr val="FFC01C"/>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pt-BR" sz="1100" b="1">
              <a:solidFill>
                <a:schemeClr val="tx1"/>
              </a:solidFill>
            </a:rPr>
            <a:t>Estimativa - PERT</a:t>
          </a:r>
        </a:p>
      </xdr:txBody>
    </xdr:sp>
    <xdr:clientData/>
  </xdr:twoCellAnchor>
  <xdr:twoCellAnchor editAs="absolute">
    <xdr:from>
      <xdr:col>0</xdr:col>
      <xdr:colOff>1695536</xdr:colOff>
      <xdr:row>0</xdr:row>
      <xdr:rowOff>28208</xdr:rowOff>
    </xdr:from>
    <xdr:to>
      <xdr:col>0</xdr:col>
      <xdr:colOff>2588559</xdr:colOff>
      <xdr:row>4</xdr:row>
      <xdr:rowOff>71620</xdr:rowOff>
    </xdr:to>
    <xdr:sp macro="" textlink="">
      <xdr:nvSpPr>
        <xdr:cNvPr id="28" name="CaixaDeTexto 27">
          <a:extLst>
            <a:ext uri="{FF2B5EF4-FFF2-40B4-BE49-F238E27FC236}">
              <a16:creationId xmlns:a16="http://schemas.microsoft.com/office/drawing/2014/main" id="{24E0A91A-982A-4814-92F0-123491787CAE}"/>
            </a:ext>
          </a:extLst>
        </xdr:cNvPr>
        <xdr:cNvSpPr txBox="1"/>
      </xdr:nvSpPr>
      <xdr:spPr>
        <a:xfrm>
          <a:off x="1695536" y="28208"/>
          <a:ext cx="893023" cy="760588"/>
        </a:xfrm>
        <a:prstGeom prst="rect">
          <a:avLst/>
        </a:prstGeom>
        <a:solidFill>
          <a:srgbClr val="FFC01C"/>
        </a:solidFill>
        <a:ln w="9525" cmpd="sng">
          <a:no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2000" b="1"/>
            <a:t>2026</a:t>
          </a:r>
          <a:endParaRPr lang="pt-BR" sz="1600" b="1"/>
        </a:p>
      </xdr:txBody>
    </xdr:sp>
    <xdr:clientData/>
  </xdr:twoCellAnchor>
  <xdr:twoCellAnchor>
    <xdr:from>
      <xdr:col>0</xdr:col>
      <xdr:colOff>1698078</xdr:colOff>
      <xdr:row>0</xdr:row>
      <xdr:rowOff>49267</xdr:rowOff>
    </xdr:from>
    <xdr:to>
      <xdr:col>0</xdr:col>
      <xdr:colOff>1698078</xdr:colOff>
      <xdr:row>4</xdr:row>
      <xdr:rowOff>59121</xdr:rowOff>
    </xdr:to>
    <xdr:cxnSp macro="">
      <xdr:nvCxnSpPr>
        <xdr:cNvPr id="30" name="Conector reto 29">
          <a:extLst>
            <a:ext uri="{FF2B5EF4-FFF2-40B4-BE49-F238E27FC236}">
              <a16:creationId xmlns:a16="http://schemas.microsoft.com/office/drawing/2014/main" id="{44EE3072-9C2D-EE11-45B5-5D3C77EDA1BA}"/>
            </a:ext>
          </a:extLst>
        </xdr:cNvPr>
        <xdr:cNvCxnSpPr/>
      </xdr:nvCxnSpPr>
      <xdr:spPr>
        <a:xfrm>
          <a:off x="1698078" y="49267"/>
          <a:ext cx="0" cy="745578"/>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593</xdr:colOff>
      <xdr:row>4</xdr:row>
      <xdr:rowOff>170448</xdr:rowOff>
    </xdr:from>
    <xdr:to>
      <xdr:col>14</xdr:col>
      <xdr:colOff>148627</xdr:colOff>
      <xdr:row>8</xdr:row>
      <xdr:rowOff>182833</xdr:rowOff>
    </xdr:to>
    <xdr:grpSp>
      <xdr:nvGrpSpPr>
        <xdr:cNvPr id="34" name="Agrupar 33">
          <a:extLst>
            <a:ext uri="{FF2B5EF4-FFF2-40B4-BE49-F238E27FC236}">
              <a16:creationId xmlns:a16="http://schemas.microsoft.com/office/drawing/2014/main" id="{90BCE7F2-F50D-312F-9B2B-1F6C2707A5A2}"/>
            </a:ext>
          </a:extLst>
        </xdr:cNvPr>
        <xdr:cNvGrpSpPr/>
      </xdr:nvGrpSpPr>
      <xdr:grpSpPr>
        <a:xfrm>
          <a:off x="18243769" y="947389"/>
          <a:ext cx="1268623" cy="789326"/>
          <a:chOff x="12664980" y="892344"/>
          <a:chExt cx="1102894" cy="734077"/>
        </a:xfrm>
      </xdr:grpSpPr>
      <xdr:pic macro="[0]!Carrga_Faixa">
        <xdr:nvPicPr>
          <xdr:cNvPr id="29" name="Gráfico 28" descr="Baú de tesouro estrutura de tópicos">
            <a:extLst>
              <a:ext uri="{FF2B5EF4-FFF2-40B4-BE49-F238E27FC236}">
                <a16:creationId xmlns:a16="http://schemas.microsoft.com/office/drawing/2014/main" id="{236A921D-E159-31CA-44C0-830467B4D2C3}"/>
              </a:ext>
            </a:extLst>
          </xdr:cNvPr>
          <xdr:cNvPicPr>
            <a:picLocks noChangeAspect="1"/>
          </xdr:cNvPicPr>
        </xdr:nvPicPr>
        <xdr:blipFill>
          <a:blip xmlns:r="http://schemas.openxmlformats.org/officeDocument/2006/relationships" r:embed="rId4">
            <a:extLst>
              <a:ext uri="{96DAC541-7B7A-43D3-8B79-37D633B846F1}">
                <asvg:svgBlip xmlns:asvg="http://schemas.microsoft.com/office/drawing/2016/SVG/main" r:embed="rId5"/>
              </a:ext>
            </a:extLst>
          </a:blip>
          <a:stretch>
            <a:fillRect/>
          </a:stretch>
        </xdr:blipFill>
        <xdr:spPr>
          <a:xfrm>
            <a:off x="12903868" y="892344"/>
            <a:ext cx="551448" cy="551448"/>
          </a:xfrm>
          <a:prstGeom prst="rect">
            <a:avLst/>
          </a:prstGeom>
        </xdr:spPr>
      </xdr:pic>
      <xdr:sp macro="[0]!Carrga_Faixa" textlink="">
        <xdr:nvSpPr>
          <xdr:cNvPr id="31" name="CaixaDeTexto 30">
            <a:extLst>
              <a:ext uri="{FF2B5EF4-FFF2-40B4-BE49-F238E27FC236}">
                <a16:creationId xmlns:a16="http://schemas.microsoft.com/office/drawing/2014/main" id="{69B3DBA7-4CCA-D4FB-E594-95DED864ADF7}"/>
              </a:ext>
            </a:extLst>
          </xdr:cNvPr>
          <xdr:cNvSpPr txBox="1"/>
        </xdr:nvSpPr>
        <xdr:spPr>
          <a:xfrm>
            <a:off x="12664980" y="1365737"/>
            <a:ext cx="1102894" cy="2606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100" b="1"/>
              <a:t>FAIXA VALORES</a:t>
            </a:r>
          </a:p>
        </xdr:txBody>
      </xdr:sp>
    </xdr:grpSp>
    <xdr:clientData/>
  </xdr:twoCellAnchor>
  <xdr:twoCellAnchor editAs="oneCell">
    <xdr:from>
      <xdr:col>4</xdr:col>
      <xdr:colOff>6049459</xdr:colOff>
      <xdr:row>4</xdr:row>
      <xdr:rowOff>54363</xdr:rowOff>
    </xdr:from>
    <xdr:to>
      <xdr:col>5</xdr:col>
      <xdr:colOff>152806</xdr:colOff>
      <xdr:row>6</xdr:row>
      <xdr:rowOff>94467</xdr:rowOff>
    </xdr:to>
    <xdr:pic>
      <xdr:nvPicPr>
        <xdr:cNvPr id="33" name="Gráfico 32" descr="Início com preenchimento sólido">
          <a:hlinkClick xmlns:r="http://schemas.openxmlformats.org/officeDocument/2006/relationships" r:id="rId6"/>
          <a:extLst>
            <a:ext uri="{FF2B5EF4-FFF2-40B4-BE49-F238E27FC236}">
              <a16:creationId xmlns:a16="http://schemas.microsoft.com/office/drawing/2014/main" id="{B0327F05-EA57-B690-59E9-D0EFB2B4A909}"/>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9993930" y="771539"/>
          <a:ext cx="401052" cy="398693"/>
        </a:xfrm>
        <a:prstGeom prst="rect">
          <a:avLst/>
        </a:prstGeom>
      </xdr:spPr>
    </xdr:pic>
    <xdr:clientData/>
  </xdr:twoCellAnchor>
  <xdr:twoCellAnchor editAs="absolute">
    <xdr:from>
      <xdr:col>6</xdr:col>
      <xdr:colOff>240927</xdr:colOff>
      <xdr:row>0</xdr:row>
      <xdr:rowOff>0</xdr:rowOff>
    </xdr:from>
    <xdr:to>
      <xdr:col>8</xdr:col>
      <xdr:colOff>638737</xdr:colOff>
      <xdr:row>9</xdr:row>
      <xdr:rowOff>89647</xdr:rowOff>
    </xdr:to>
    <xdr:graphicFrame macro="">
      <xdr:nvGraphicFramePr>
        <xdr:cNvPr id="26" name="Gráfico 25">
          <a:extLst>
            <a:ext uri="{FF2B5EF4-FFF2-40B4-BE49-F238E27FC236}">
              <a16:creationId xmlns:a16="http://schemas.microsoft.com/office/drawing/2014/main" id="{8D94DCFC-41C5-BB7C-6546-094FC2546C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396240</xdr:colOff>
      <xdr:row>0</xdr:row>
      <xdr:rowOff>22860</xdr:rowOff>
    </xdr:from>
    <xdr:to>
      <xdr:col>13</xdr:col>
      <xdr:colOff>3625190</xdr:colOff>
      <xdr:row>1</xdr:row>
      <xdr:rowOff>168761</xdr:rowOff>
    </xdr:to>
    <xdr:sp macro="" textlink="">
      <xdr:nvSpPr>
        <xdr:cNvPr id="25" name="CaixaDeTexto 24">
          <a:extLst>
            <a:ext uri="{FF2B5EF4-FFF2-40B4-BE49-F238E27FC236}">
              <a16:creationId xmlns:a16="http://schemas.microsoft.com/office/drawing/2014/main" id="{E4597799-1FE3-44DE-B62B-BD79F06827F9}"/>
            </a:ext>
          </a:extLst>
        </xdr:cNvPr>
        <xdr:cNvSpPr txBox="1"/>
      </xdr:nvSpPr>
      <xdr:spPr>
        <a:xfrm>
          <a:off x="7101840" y="22860"/>
          <a:ext cx="3977640" cy="317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b="1"/>
            <a:t>Curva ABC de Atratividade - TOP 30</a:t>
          </a:r>
        </a:p>
      </xdr:txBody>
    </xdr:sp>
    <xdr:clientData/>
  </xdr:twoCellAnchor>
  <xdr:twoCellAnchor editAs="oneCell">
    <xdr:from>
      <xdr:col>7</xdr:col>
      <xdr:colOff>344882</xdr:colOff>
      <xdr:row>3</xdr:row>
      <xdr:rowOff>104661</xdr:rowOff>
    </xdr:from>
    <xdr:to>
      <xdr:col>8</xdr:col>
      <xdr:colOff>336884</xdr:colOff>
      <xdr:row>5</xdr:row>
      <xdr:rowOff>138503</xdr:rowOff>
    </xdr:to>
    <xdr:pic macro="[0]!Plota_Grafico">
      <xdr:nvPicPr>
        <xdr:cNvPr id="13" name="Gráfico 12" descr="Avançar Rápido estrutura de tópicos">
          <a:extLst>
            <a:ext uri="{FF2B5EF4-FFF2-40B4-BE49-F238E27FC236}">
              <a16:creationId xmlns:a16="http://schemas.microsoft.com/office/drawing/2014/main" id="{8BD2BE84-079D-A52E-BA01-AAE807F163B2}"/>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4612082" y="706240"/>
          <a:ext cx="601602" cy="434895"/>
        </a:xfrm>
        <a:prstGeom prst="rect">
          <a:avLst/>
        </a:prstGeom>
      </xdr:spPr>
    </xdr:pic>
    <xdr:clientData/>
  </xdr:twoCellAnchor>
  <xdr:twoCellAnchor editAs="absolute">
    <xdr:from>
      <xdr:col>0</xdr:col>
      <xdr:colOff>53341</xdr:colOff>
      <xdr:row>0</xdr:row>
      <xdr:rowOff>57150</xdr:rowOff>
    </xdr:from>
    <xdr:to>
      <xdr:col>8</xdr:col>
      <xdr:colOff>393033</xdr:colOff>
      <xdr:row>33</xdr:row>
      <xdr:rowOff>16042</xdr:rowOff>
    </xdr:to>
    <xdr:sp macro="" textlink="">
      <xdr:nvSpPr>
        <xdr:cNvPr id="9" name="Retângulo 8">
          <a:extLst>
            <a:ext uri="{FF2B5EF4-FFF2-40B4-BE49-F238E27FC236}">
              <a16:creationId xmlns:a16="http://schemas.microsoft.com/office/drawing/2014/main" id="{C29E0041-AEB9-E0A4-4A59-3E4943F4BCCE}"/>
            </a:ext>
          </a:extLst>
        </xdr:cNvPr>
        <xdr:cNvSpPr/>
      </xdr:nvSpPr>
      <xdr:spPr>
        <a:xfrm>
          <a:off x="53341" y="57150"/>
          <a:ext cx="5216492" cy="6496050"/>
        </a:xfrm>
        <a:prstGeom prst="rect">
          <a:avLst/>
        </a:prstGeom>
        <a:no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507884</xdr:colOff>
      <xdr:row>23</xdr:row>
      <xdr:rowOff>124125</xdr:rowOff>
    </xdr:from>
    <xdr:to>
      <xdr:col>8</xdr:col>
      <xdr:colOff>320842</xdr:colOff>
      <xdr:row>31</xdr:row>
      <xdr:rowOff>192505</xdr:rowOff>
    </xdr:to>
    <xdr:graphicFrame macro="">
      <xdr:nvGraphicFramePr>
        <xdr:cNvPr id="11" name="Gráfico 10">
          <a:extLst>
            <a:ext uri="{FF2B5EF4-FFF2-40B4-BE49-F238E27FC236}">
              <a16:creationId xmlns:a16="http://schemas.microsoft.com/office/drawing/2014/main" id="{4D8B415F-FFD5-49E2-9CA1-4C413A6195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113560</xdr:colOff>
      <xdr:row>26</xdr:row>
      <xdr:rowOff>57134</xdr:rowOff>
    </xdr:from>
    <xdr:to>
      <xdr:col>2</xdr:col>
      <xdr:colOff>112889</xdr:colOff>
      <xdr:row>31</xdr:row>
      <xdr:rowOff>180474</xdr:rowOff>
    </xdr:to>
    <xdr:sp macro="" textlink="">
      <xdr:nvSpPr>
        <xdr:cNvPr id="47" name="CaixaDeTexto 46">
          <a:extLst>
            <a:ext uri="{FF2B5EF4-FFF2-40B4-BE49-F238E27FC236}">
              <a16:creationId xmlns:a16="http://schemas.microsoft.com/office/drawing/2014/main" id="{4486DA3F-0B34-45B3-B1A6-4FB498078318}"/>
            </a:ext>
          </a:extLst>
        </xdr:cNvPr>
        <xdr:cNvSpPr txBox="1"/>
      </xdr:nvSpPr>
      <xdr:spPr>
        <a:xfrm>
          <a:off x="113560" y="5020160"/>
          <a:ext cx="1182434" cy="103573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400" b="1"/>
            <a:t>Dirpersão das iniciativas</a:t>
          </a:r>
        </a:p>
      </xdr:txBody>
    </xdr:sp>
    <xdr:clientData/>
  </xdr:twoCellAnchor>
  <xdr:twoCellAnchor>
    <xdr:from>
      <xdr:col>0</xdr:col>
      <xdr:colOff>68579</xdr:colOff>
      <xdr:row>0</xdr:row>
      <xdr:rowOff>53340</xdr:rowOff>
    </xdr:from>
    <xdr:to>
      <xdr:col>7</xdr:col>
      <xdr:colOff>340894</xdr:colOff>
      <xdr:row>2</xdr:row>
      <xdr:rowOff>68580</xdr:rowOff>
    </xdr:to>
    <xdr:sp macro="" textlink="">
      <xdr:nvSpPr>
        <xdr:cNvPr id="17" name="CaixaDeTexto 16">
          <a:extLst>
            <a:ext uri="{FF2B5EF4-FFF2-40B4-BE49-F238E27FC236}">
              <a16:creationId xmlns:a16="http://schemas.microsoft.com/office/drawing/2014/main" id="{A904EF68-A562-46A8-958D-37163D067FA4}"/>
            </a:ext>
          </a:extLst>
        </xdr:cNvPr>
        <xdr:cNvSpPr txBox="1"/>
      </xdr:nvSpPr>
      <xdr:spPr>
        <a:xfrm>
          <a:off x="68579" y="53340"/>
          <a:ext cx="4413183" cy="40626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pt-BR" sz="1800" b="1"/>
            <a:t>Quadrante Mágico</a:t>
          </a:r>
          <a:r>
            <a:rPr lang="pt-BR" sz="1800" b="1" baseline="0"/>
            <a:t> de Gestão e Priorização</a:t>
          </a:r>
          <a:endParaRPr lang="pt-BR" sz="1800" b="1"/>
        </a:p>
      </xdr:txBody>
    </xdr:sp>
    <xdr:clientData/>
  </xdr:twoCellAnchor>
  <xdr:twoCellAnchor editAs="absolute">
    <xdr:from>
      <xdr:col>0</xdr:col>
      <xdr:colOff>91440</xdr:colOff>
      <xdr:row>5</xdr:row>
      <xdr:rowOff>84579</xdr:rowOff>
    </xdr:from>
    <xdr:to>
      <xdr:col>8</xdr:col>
      <xdr:colOff>296779</xdr:colOff>
      <xdr:row>24</xdr:row>
      <xdr:rowOff>48092</xdr:rowOff>
    </xdr:to>
    <xdr:grpSp>
      <xdr:nvGrpSpPr>
        <xdr:cNvPr id="2" name="Agrupar 1">
          <a:extLst>
            <a:ext uri="{FF2B5EF4-FFF2-40B4-BE49-F238E27FC236}">
              <a16:creationId xmlns:a16="http://schemas.microsoft.com/office/drawing/2014/main" id="{7FEDD831-DC05-7A86-14D1-D9B1C6D2F95D}"/>
            </a:ext>
          </a:extLst>
        </xdr:cNvPr>
        <xdr:cNvGrpSpPr/>
      </xdr:nvGrpSpPr>
      <xdr:grpSpPr>
        <a:xfrm>
          <a:off x="91440" y="1087211"/>
          <a:ext cx="5552707" cy="3519513"/>
          <a:chOff x="106680" y="1412521"/>
          <a:chExt cx="6839028" cy="5029567"/>
        </a:xfrm>
      </xdr:grpSpPr>
      <xdr:graphicFrame macro="">
        <xdr:nvGraphicFramePr>
          <xdr:cNvPr id="7797" name="Quadrante Mágico">
            <a:extLst>
              <a:ext uri="{FF2B5EF4-FFF2-40B4-BE49-F238E27FC236}">
                <a16:creationId xmlns:a16="http://schemas.microsoft.com/office/drawing/2014/main" id="{3561312F-2B19-4C81-B21C-18124F1B4579}"/>
              </a:ext>
            </a:extLst>
          </xdr:cNvPr>
          <xdr:cNvGraphicFramePr>
            <a:graphicFrameLocks/>
          </xdr:cNvGraphicFramePr>
        </xdr:nvGraphicFramePr>
        <xdr:xfrm>
          <a:off x="397788" y="1455331"/>
          <a:ext cx="6545444" cy="4754053"/>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 name="Agrupar 4">
            <a:extLst>
              <a:ext uri="{FF2B5EF4-FFF2-40B4-BE49-F238E27FC236}">
                <a16:creationId xmlns:a16="http://schemas.microsoft.com/office/drawing/2014/main" id="{2438A2BE-BBAD-907E-ADBD-575696C97304}"/>
              </a:ext>
            </a:extLst>
          </xdr:cNvPr>
          <xdr:cNvGrpSpPr/>
        </xdr:nvGrpSpPr>
        <xdr:grpSpPr>
          <a:xfrm>
            <a:off x="106680" y="1412521"/>
            <a:ext cx="6839028" cy="5029567"/>
            <a:chOff x="76200" y="1339742"/>
            <a:chExt cx="6873240" cy="4720464"/>
          </a:xfrm>
        </xdr:grpSpPr>
        <xdr:sp macro="" textlink="">
          <xdr:nvSpPr>
            <xdr:cNvPr id="39" name="CaixaDeTexto 38">
              <a:extLst>
                <a:ext uri="{FF2B5EF4-FFF2-40B4-BE49-F238E27FC236}">
                  <a16:creationId xmlns:a16="http://schemas.microsoft.com/office/drawing/2014/main" id="{F5B54BEA-D561-499E-A291-1EB97C779FD4}"/>
                </a:ext>
              </a:extLst>
            </xdr:cNvPr>
            <xdr:cNvSpPr txBox="1"/>
          </xdr:nvSpPr>
          <xdr:spPr>
            <a:xfrm>
              <a:off x="3642359" y="3512908"/>
              <a:ext cx="2439248" cy="299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a:t>Q2 - Impulsionador</a:t>
              </a:r>
            </a:p>
          </xdr:txBody>
        </xdr:sp>
        <xdr:grpSp>
          <xdr:nvGrpSpPr>
            <xdr:cNvPr id="18" name="Agrupar 17">
              <a:extLst>
                <a:ext uri="{FF2B5EF4-FFF2-40B4-BE49-F238E27FC236}">
                  <a16:creationId xmlns:a16="http://schemas.microsoft.com/office/drawing/2014/main" id="{4EFF6178-DB0A-65B9-10E5-EB22EFE639B5}"/>
                </a:ext>
              </a:extLst>
            </xdr:cNvPr>
            <xdr:cNvGrpSpPr/>
          </xdr:nvGrpSpPr>
          <xdr:grpSpPr>
            <a:xfrm>
              <a:off x="76200" y="1339742"/>
              <a:ext cx="6873240" cy="4720464"/>
              <a:chOff x="815340" y="1129021"/>
              <a:chExt cx="5859780" cy="3747831"/>
            </a:xfrm>
          </xdr:grpSpPr>
          <xdr:sp macro="" textlink="">
            <xdr:nvSpPr>
              <xdr:cNvPr id="3" name="CaixaDeTexto 2">
                <a:extLst>
                  <a:ext uri="{FF2B5EF4-FFF2-40B4-BE49-F238E27FC236}">
                    <a16:creationId xmlns:a16="http://schemas.microsoft.com/office/drawing/2014/main" id="{D6DF4A9D-48B4-4E36-38E2-FD74AE734850}"/>
                  </a:ext>
                </a:extLst>
              </xdr:cNvPr>
              <xdr:cNvSpPr txBox="1"/>
            </xdr:nvSpPr>
            <xdr:spPr>
              <a:xfrm rot="16200000">
                <a:off x="-826770" y="2796540"/>
                <a:ext cx="3539490" cy="255270"/>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rPr>
                  <a:t>RETORNO</a:t>
                </a:r>
              </a:p>
            </xdr:txBody>
          </xdr:sp>
          <xdr:sp macro="" textlink="">
            <xdr:nvSpPr>
              <xdr:cNvPr id="4" name="CaixaDeTexto 3">
                <a:extLst>
                  <a:ext uri="{FF2B5EF4-FFF2-40B4-BE49-F238E27FC236}">
                    <a16:creationId xmlns:a16="http://schemas.microsoft.com/office/drawing/2014/main" id="{D3741BA1-EB35-4AAC-BF3C-1D7C86C41EB9}"/>
                  </a:ext>
                </a:extLst>
              </xdr:cNvPr>
              <xdr:cNvSpPr txBox="1"/>
            </xdr:nvSpPr>
            <xdr:spPr>
              <a:xfrm>
                <a:off x="815340" y="4686300"/>
                <a:ext cx="5859780" cy="190552"/>
              </a:xfrm>
              <a:prstGeom prst="rect">
                <a:avLst/>
              </a:prstGeom>
              <a:solidFill>
                <a:schemeClr val="accent1">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pt-BR" sz="1200" b="1">
                    <a:solidFill>
                      <a:schemeClr val="bg1"/>
                    </a:solidFill>
                  </a:rPr>
                  <a:t>PERFORMANCE</a:t>
                </a:r>
              </a:p>
            </xdr:txBody>
          </xdr:sp>
          <xdr:cxnSp macro="">
            <xdr:nvCxnSpPr>
              <xdr:cNvPr id="6" name="Conector reto 5">
                <a:extLst>
                  <a:ext uri="{FF2B5EF4-FFF2-40B4-BE49-F238E27FC236}">
                    <a16:creationId xmlns:a16="http://schemas.microsoft.com/office/drawing/2014/main" id="{D7667B7C-0C3B-E18D-B747-7E087027B740}"/>
                  </a:ext>
                </a:extLst>
              </xdr:cNvPr>
              <xdr:cNvCxnSpPr/>
            </xdr:nvCxnSpPr>
            <xdr:spPr>
              <a:xfrm>
                <a:off x="1097280" y="2852245"/>
                <a:ext cx="5562600" cy="0"/>
              </a:xfrm>
              <a:prstGeom prst="line">
                <a:avLst/>
              </a:prstGeom>
              <a:ln>
                <a:solidFill>
                  <a:schemeClr val="tx2">
                    <a:lumMod val="40000"/>
                    <a:lumOff val="60000"/>
                  </a:schemeClr>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8" name="Conector reto 7">
                <a:extLst>
                  <a:ext uri="{FF2B5EF4-FFF2-40B4-BE49-F238E27FC236}">
                    <a16:creationId xmlns:a16="http://schemas.microsoft.com/office/drawing/2014/main" id="{28E8B252-31A6-416D-A9C1-9B3518EFAAB5}"/>
                  </a:ext>
                </a:extLst>
              </xdr:cNvPr>
              <xdr:cNvCxnSpPr>
                <a:cxnSpLocks/>
              </xdr:cNvCxnSpPr>
            </xdr:nvCxnSpPr>
            <xdr:spPr>
              <a:xfrm>
                <a:off x="3878580" y="1139190"/>
                <a:ext cx="0" cy="3547110"/>
              </a:xfrm>
              <a:prstGeom prst="line">
                <a:avLst/>
              </a:prstGeom>
              <a:ln>
                <a:solidFill>
                  <a:schemeClr val="tx2">
                    <a:lumMod val="40000"/>
                    <a:lumOff val="60000"/>
                  </a:schemeClr>
                </a:solidFill>
                <a:prstDash val="dash"/>
              </a:ln>
            </xdr:spPr>
            <xdr:style>
              <a:lnRef idx="1">
                <a:schemeClr val="accent1"/>
              </a:lnRef>
              <a:fillRef idx="0">
                <a:schemeClr val="accent1"/>
              </a:fillRef>
              <a:effectRef idx="0">
                <a:schemeClr val="accent1"/>
              </a:effectRef>
              <a:fontRef idx="minor">
                <a:schemeClr val="tx1"/>
              </a:fontRef>
            </xdr:style>
          </xdr:cxnSp>
          <xdr:sp macro="" textlink="">
            <xdr:nvSpPr>
              <xdr:cNvPr id="14" name="CaixaDeTexto 13">
                <a:extLst>
                  <a:ext uri="{FF2B5EF4-FFF2-40B4-BE49-F238E27FC236}">
                    <a16:creationId xmlns:a16="http://schemas.microsoft.com/office/drawing/2014/main" id="{A5336F28-9F6D-4163-A7B1-59A4A1FF39D9}"/>
                  </a:ext>
                </a:extLst>
              </xdr:cNvPr>
              <xdr:cNvSpPr txBox="1"/>
            </xdr:nvSpPr>
            <xdr:spPr>
              <a:xfrm>
                <a:off x="3870714" y="1129021"/>
                <a:ext cx="1650283"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a:t>Q1 - Alavancador</a:t>
                </a:r>
              </a:p>
            </xdr:txBody>
          </xdr:sp>
          <xdr:sp macro="" textlink="">
            <xdr:nvSpPr>
              <xdr:cNvPr id="15" name="Retângulo 14">
                <a:extLst>
                  <a:ext uri="{FF2B5EF4-FFF2-40B4-BE49-F238E27FC236}">
                    <a16:creationId xmlns:a16="http://schemas.microsoft.com/office/drawing/2014/main" id="{C66BB51C-1423-2746-A3AC-C67334C98AB0}"/>
                  </a:ext>
                </a:extLst>
              </xdr:cNvPr>
              <xdr:cNvSpPr/>
            </xdr:nvSpPr>
            <xdr:spPr>
              <a:xfrm>
                <a:off x="3878580" y="1154151"/>
                <a:ext cx="2788920" cy="1725891"/>
              </a:xfrm>
              <a:prstGeom prst="rect">
                <a:avLst/>
              </a:prstGeom>
              <a:noFill/>
              <a:ln>
                <a:solidFill>
                  <a:schemeClr val="accent1">
                    <a:shade val="15000"/>
                  </a:schemeClr>
                </a:solidFill>
              </a:ln>
              <a:effectLst>
                <a:glow rad="63500">
                  <a:schemeClr val="accent1">
                    <a:satMod val="175000"/>
                    <a:alpha val="40000"/>
                  </a:schemeClr>
                </a:glo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grpSp>
        <xdr:sp macro="" textlink="">
          <xdr:nvSpPr>
            <xdr:cNvPr id="40" name="CaixaDeTexto 39">
              <a:extLst>
                <a:ext uri="{FF2B5EF4-FFF2-40B4-BE49-F238E27FC236}">
                  <a16:creationId xmlns:a16="http://schemas.microsoft.com/office/drawing/2014/main" id="{C73546FA-A91E-47F0-890D-17564A736598}"/>
                </a:ext>
              </a:extLst>
            </xdr:cNvPr>
            <xdr:cNvSpPr txBox="1"/>
          </xdr:nvSpPr>
          <xdr:spPr>
            <a:xfrm>
              <a:off x="358139" y="1377842"/>
              <a:ext cx="2335395" cy="287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a:t>Q3 - Valor</a:t>
              </a:r>
              <a:r>
                <a:rPr lang="pt-BR" sz="1100" b="1" baseline="0"/>
                <a:t> Percebido</a:t>
              </a:r>
              <a:endParaRPr lang="pt-BR" sz="1100" b="1"/>
            </a:p>
          </xdr:txBody>
        </xdr:sp>
        <xdr:sp macro="" textlink="">
          <xdr:nvSpPr>
            <xdr:cNvPr id="41" name="CaixaDeTexto 40">
              <a:extLst>
                <a:ext uri="{FF2B5EF4-FFF2-40B4-BE49-F238E27FC236}">
                  <a16:creationId xmlns:a16="http://schemas.microsoft.com/office/drawing/2014/main" id="{CF41886A-0D51-4E12-84A5-9B82D79ED473}"/>
                </a:ext>
              </a:extLst>
            </xdr:cNvPr>
            <xdr:cNvSpPr txBox="1"/>
          </xdr:nvSpPr>
          <xdr:spPr>
            <a:xfrm>
              <a:off x="358139" y="3488582"/>
              <a:ext cx="2177769" cy="2879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BR" sz="1100" b="1"/>
                <a:t>Q4 - Menor Relevância</a:t>
              </a:r>
            </a:p>
          </xdr:txBody>
        </xdr:sp>
      </xdr:grpSp>
    </xdr:grpSp>
    <xdr:clientData/>
  </xdr:twoCellAnchor>
  <xdr:twoCellAnchor editAs="oneCell">
    <xdr:from>
      <xdr:col>0</xdr:col>
      <xdr:colOff>128337</xdr:colOff>
      <xdr:row>2</xdr:row>
      <xdr:rowOff>112295</xdr:rowOff>
    </xdr:from>
    <xdr:to>
      <xdr:col>3</xdr:col>
      <xdr:colOff>136359</xdr:colOff>
      <xdr:row>4</xdr:row>
      <xdr:rowOff>72189</xdr:rowOff>
    </xdr:to>
    <xdr:pic macro="[0]!Amplia">
      <xdr:nvPicPr>
        <xdr:cNvPr id="10" name="Google Shape;784;p49" title="LogoColorHorizontal.png">
          <a:extLst>
            <a:ext uri="{FF2B5EF4-FFF2-40B4-BE49-F238E27FC236}">
              <a16:creationId xmlns:a16="http://schemas.microsoft.com/office/drawing/2014/main" id="{27BC41C8-0A22-4743-856F-4BC455E6426F}"/>
            </a:ext>
          </a:extLst>
        </xdr:cNvPr>
        <xdr:cNvPicPr preferRelativeResize="0"/>
      </xdr:nvPicPr>
      <xdr:blipFill>
        <a:blip xmlns:r="http://schemas.openxmlformats.org/officeDocument/2006/relationships" r:embed="rId5">
          <a:alphaModFix/>
        </a:blip>
        <a:stretch>
          <a:fillRect/>
        </a:stretch>
      </xdr:blipFill>
      <xdr:spPr>
        <a:xfrm>
          <a:off x="128337" y="481263"/>
          <a:ext cx="1836822" cy="385010"/>
        </a:xfrm>
        <a:prstGeom prst="rect">
          <a:avLst/>
        </a:prstGeom>
        <a:noFill/>
        <a:ln>
          <a:noFill/>
        </a:ln>
      </xdr:spPr>
    </xdr:pic>
    <xdr:clientData/>
  </xdr:twoCellAnchor>
  <xdr:twoCellAnchor editAs="oneCell">
    <xdr:from>
      <xdr:col>7</xdr:col>
      <xdr:colOff>393032</xdr:colOff>
      <xdr:row>0</xdr:row>
      <xdr:rowOff>24063</xdr:rowOff>
    </xdr:from>
    <xdr:to>
      <xdr:col>8</xdr:col>
      <xdr:colOff>184484</xdr:colOff>
      <xdr:row>2</xdr:row>
      <xdr:rowOff>48126</xdr:rowOff>
    </xdr:to>
    <xdr:pic>
      <xdr:nvPicPr>
        <xdr:cNvPr id="7" name="Gráfico 6" descr="Início com preenchimento sólido">
          <a:hlinkClick xmlns:r="http://schemas.openxmlformats.org/officeDocument/2006/relationships" r:id="rId6"/>
          <a:extLst>
            <a:ext uri="{FF2B5EF4-FFF2-40B4-BE49-F238E27FC236}">
              <a16:creationId xmlns:a16="http://schemas.microsoft.com/office/drawing/2014/main" id="{D4FCFC0E-FAE6-4E4E-AFC4-D1D661F05E0D}"/>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4660232" y="24063"/>
          <a:ext cx="401052" cy="4010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10</xdr:row>
      <xdr:rowOff>45560</xdr:rowOff>
    </xdr:from>
    <xdr:to>
      <xdr:col>12</xdr:col>
      <xdr:colOff>551793</xdr:colOff>
      <xdr:row>11</xdr:row>
      <xdr:rowOff>105550</xdr:rowOff>
    </xdr:to>
    <xdr:grpSp>
      <xdr:nvGrpSpPr>
        <xdr:cNvPr id="7204" name="Agrupar 7203">
          <a:extLst>
            <a:ext uri="{FF2B5EF4-FFF2-40B4-BE49-F238E27FC236}">
              <a16:creationId xmlns:a16="http://schemas.microsoft.com/office/drawing/2014/main" id="{C7693068-04F6-4508-66C8-D999B032C695}"/>
            </a:ext>
          </a:extLst>
        </xdr:cNvPr>
        <xdr:cNvGrpSpPr/>
      </xdr:nvGrpSpPr>
      <xdr:grpSpPr>
        <a:xfrm>
          <a:off x="0" y="1950560"/>
          <a:ext cx="8595126" cy="250490"/>
          <a:chOff x="0" y="2147630"/>
          <a:chExt cx="7866993" cy="243921"/>
        </a:xfrm>
      </xdr:grpSpPr>
      <xdr:grpSp>
        <xdr:nvGrpSpPr>
          <xdr:cNvPr id="24" name="Agrupar 35">
            <a:extLst>
              <a:ext uri="{FF2B5EF4-FFF2-40B4-BE49-F238E27FC236}">
                <a16:creationId xmlns:a16="http://schemas.microsoft.com/office/drawing/2014/main" id="{CCED0A33-9AF9-5B26-4A90-9A927D575D57}"/>
              </a:ext>
            </a:extLst>
          </xdr:cNvPr>
          <xdr:cNvGrpSpPr/>
        </xdr:nvGrpSpPr>
        <xdr:grpSpPr>
          <a:xfrm>
            <a:off x="0" y="2147630"/>
            <a:ext cx="7711440" cy="233461"/>
            <a:chOff x="6413351" y="2713618"/>
            <a:chExt cx="7711440" cy="228600"/>
          </a:xfrm>
        </xdr:grpSpPr>
        <xdr:sp macro="" textlink="">
          <xdr:nvSpPr>
            <xdr:cNvPr id="26" name="Retângulo: Cantos Arredondados 25">
              <a:extLst>
                <a:ext uri="{FF2B5EF4-FFF2-40B4-BE49-F238E27FC236}">
                  <a16:creationId xmlns:a16="http://schemas.microsoft.com/office/drawing/2014/main" id="{0CB8C414-1780-9459-9F24-AE445D6C62BA}"/>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27" name="CaixaDeTexto 32">
              <a:extLst>
                <a:ext uri="{FF2B5EF4-FFF2-40B4-BE49-F238E27FC236}">
                  <a16:creationId xmlns:a16="http://schemas.microsoft.com/office/drawing/2014/main" id="{0EC0CE04-B8E3-1B75-9C39-E96C93B90D54}"/>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Governança</a:t>
              </a:r>
            </a:p>
          </xdr:txBody>
        </xdr:sp>
      </xdr:grpSp>
      <xdr:sp macro="" textlink="">
        <xdr:nvSpPr>
          <xdr:cNvPr id="64" name="Retângulo: Cantos Arredondados 15">
            <a:extLst>
              <a:ext uri="{FF2B5EF4-FFF2-40B4-BE49-F238E27FC236}">
                <a16:creationId xmlns:a16="http://schemas.microsoft.com/office/drawing/2014/main" id="{B76AA7ED-1AF4-4D99-9994-379FF0C8D3C5}"/>
              </a:ext>
            </a:extLst>
          </xdr:cNvPr>
          <xdr:cNvSpPr/>
        </xdr:nvSpPr>
        <xdr:spPr>
          <a:xfrm>
            <a:off x="1066799" y="2198003"/>
            <a:ext cx="6369270" cy="182589"/>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5" name="CaixaDeTexto 42">
            <a:extLst>
              <a:ext uri="{FF2B5EF4-FFF2-40B4-BE49-F238E27FC236}">
                <a16:creationId xmlns:a16="http://schemas.microsoft.com/office/drawing/2014/main" id="{25324E09-DD3C-46BE-B581-FE3304F68DC0}"/>
              </a:ext>
            </a:extLst>
          </xdr:cNvPr>
          <xdr:cNvSpPr txBox="1"/>
        </xdr:nvSpPr>
        <xdr:spPr>
          <a:xfrm>
            <a:off x="7374052" y="2150311"/>
            <a:ext cx="492941" cy="2321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91%</a:t>
            </a:r>
          </a:p>
        </xdr:txBody>
      </xdr:sp>
      <xdr:sp macro="" textlink="">
        <xdr:nvSpPr>
          <xdr:cNvPr id="66" name="Elipse 65">
            <a:extLst>
              <a:ext uri="{FF2B5EF4-FFF2-40B4-BE49-F238E27FC236}">
                <a16:creationId xmlns:a16="http://schemas.microsoft.com/office/drawing/2014/main" id="{2E1F2419-155A-48DC-B760-808B1A1ADB19}"/>
              </a:ext>
            </a:extLst>
          </xdr:cNvPr>
          <xdr:cNvSpPr/>
        </xdr:nvSpPr>
        <xdr:spPr>
          <a:xfrm>
            <a:off x="6729846" y="2183261"/>
            <a:ext cx="196684" cy="208290"/>
          </a:xfrm>
          <a:prstGeom prst="ellipse">
            <a:avLst/>
          </a:prstGeom>
          <a:gradFill>
            <a:gsLst>
              <a:gs pos="0">
                <a:srgbClr val="FFFF00"/>
              </a:gs>
              <a:gs pos="50000">
                <a:srgbClr val="FFFF00"/>
              </a:gs>
              <a:gs pos="100000">
                <a:srgbClr val="FFFF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
        <xdr:nvSpPr>
          <xdr:cNvPr id="67" name="CaixaDeTexto 42">
            <a:extLst>
              <a:ext uri="{FF2B5EF4-FFF2-40B4-BE49-F238E27FC236}">
                <a16:creationId xmlns:a16="http://schemas.microsoft.com/office/drawing/2014/main" id="{C46C1AD5-AB98-45F5-BF8D-59AD9964C291}"/>
              </a:ext>
            </a:extLst>
          </xdr:cNvPr>
          <xdr:cNvSpPr txBox="1"/>
        </xdr:nvSpPr>
        <xdr:spPr>
          <a:xfrm>
            <a:off x="6870817" y="2148971"/>
            <a:ext cx="490366" cy="2123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83%</a:t>
            </a:r>
          </a:p>
        </xdr:txBody>
      </xdr:sp>
      <xdr:sp macro="" textlink="">
        <xdr:nvSpPr>
          <xdr:cNvPr id="7191" name="CaixaDeTexto 42">
            <a:extLst>
              <a:ext uri="{FF2B5EF4-FFF2-40B4-BE49-F238E27FC236}">
                <a16:creationId xmlns:a16="http://schemas.microsoft.com/office/drawing/2014/main" id="{3F8D6538-ABF0-41BE-BEE9-726736E77799}"/>
              </a:ext>
            </a:extLst>
          </xdr:cNvPr>
          <xdr:cNvSpPr txBox="1"/>
        </xdr:nvSpPr>
        <xdr:spPr>
          <a:xfrm>
            <a:off x="1023257" y="2157581"/>
            <a:ext cx="3012715"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a:t>
            </a:r>
            <a:r>
              <a:rPr lang="en-US" sz="900" b="1" i="1">
                <a:solidFill>
                  <a:schemeClr val="bg1"/>
                </a:solidFill>
              </a:rPr>
              <a:t>8%</a:t>
            </a:r>
          </a:p>
        </xdr:txBody>
      </xdr:sp>
    </xdr:grpSp>
    <xdr:clientData/>
  </xdr:twoCellAnchor>
  <xdr:twoCellAnchor editAs="absolute">
    <xdr:from>
      <xdr:col>0</xdr:col>
      <xdr:colOff>0</xdr:colOff>
      <xdr:row>4</xdr:row>
      <xdr:rowOff>92781</xdr:rowOff>
    </xdr:from>
    <xdr:to>
      <xdr:col>12</xdr:col>
      <xdr:colOff>396240</xdr:colOff>
      <xdr:row>5</xdr:row>
      <xdr:rowOff>140970</xdr:rowOff>
    </xdr:to>
    <xdr:grpSp>
      <xdr:nvGrpSpPr>
        <xdr:cNvPr id="3" name="Agrupar 43">
          <a:extLst>
            <a:ext uri="{FF2B5EF4-FFF2-40B4-BE49-F238E27FC236}">
              <a16:creationId xmlns:a16="http://schemas.microsoft.com/office/drawing/2014/main" id="{71907F7E-7139-4649-8075-CD6A51077817}"/>
            </a:ext>
          </a:extLst>
        </xdr:cNvPr>
        <xdr:cNvGrpSpPr/>
      </xdr:nvGrpSpPr>
      <xdr:grpSpPr>
        <a:xfrm>
          <a:off x="0" y="854781"/>
          <a:ext cx="8439573" cy="238689"/>
          <a:chOff x="6413351" y="2949387"/>
          <a:chExt cx="7711440" cy="234879"/>
        </a:xfrm>
      </xdr:grpSpPr>
      <xdr:grpSp>
        <xdr:nvGrpSpPr>
          <xdr:cNvPr id="4" name="Agrupar 35">
            <a:extLst>
              <a:ext uri="{FF2B5EF4-FFF2-40B4-BE49-F238E27FC236}">
                <a16:creationId xmlns:a16="http://schemas.microsoft.com/office/drawing/2014/main" id="{B9B62E1E-40C1-2E86-A677-5A59510BEE3E}"/>
              </a:ext>
            </a:extLst>
          </xdr:cNvPr>
          <xdr:cNvGrpSpPr/>
        </xdr:nvGrpSpPr>
        <xdr:grpSpPr>
          <a:xfrm>
            <a:off x="6413351" y="2955666"/>
            <a:ext cx="7711440" cy="228600"/>
            <a:chOff x="6413351" y="2713618"/>
            <a:chExt cx="7711440" cy="228600"/>
          </a:xfrm>
        </xdr:grpSpPr>
        <xdr:sp macro="" textlink="">
          <xdr:nvSpPr>
            <xdr:cNvPr id="6" name="Retângulo: Cantos Arredondados 15">
              <a:extLst>
                <a:ext uri="{FF2B5EF4-FFF2-40B4-BE49-F238E27FC236}">
                  <a16:creationId xmlns:a16="http://schemas.microsoft.com/office/drawing/2014/main" id="{EE053C07-BEB9-08AE-5411-D54BDB5DF83E}"/>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7" name="CaixaDeTexto 32">
              <a:extLst>
                <a:ext uri="{FF2B5EF4-FFF2-40B4-BE49-F238E27FC236}">
                  <a16:creationId xmlns:a16="http://schemas.microsoft.com/office/drawing/2014/main" id="{A38F85BA-1DF9-7F72-4CE4-BD5C8C245FC7}"/>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ADM</a:t>
              </a:r>
            </a:p>
          </xdr:txBody>
        </xdr:sp>
      </xdr:grpSp>
      <xdr:sp macro="" textlink="">
        <xdr:nvSpPr>
          <xdr:cNvPr id="5" name="CaixaDeTexto 42">
            <a:extLst>
              <a:ext uri="{FF2B5EF4-FFF2-40B4-BE49-F238E27FC236}">
                <a16:creationId xmlns:a16="http://schemas.microsoft.com/office/drawing/2014/main" id="{53CAE054-3D35-2E2C-6380-25779A3A6760}"/>
              </a:ext>
            </a:extLst>
          </xdr:cNvPr>
          <xdr:cNvSpPr txBox="1"/>
        </xdr:nvSpPr>
        <xdr:spPr>
          <a:xfrm>
            <a:off x="12990027" y="2949387"/>
            <a:ext cx="869575" cy="2151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78%</a:t>
            </a:r>
          </a:p>
        </xdr:txBody>
      </xdr:sp>
    </xdr:grpSp>
    <xdr:clientData/>
  </xdr:twoCellAnchor>
  <xdr:twoCellAnchor editAs="absolute">
    <xdr:from>
      <xdr:col>0</xdr:col>
      <xdr:colOff>0</xdr:colOff>
      <xdr:row>7</xdr:row>
      <xdr:rowOff>68819</xdr:rowOff>
    </xdr:from>
    <xdr:to>
      <xdr:col>12</xdr:col>
      <xdr:colOff>396240</xdr:colOff>
      <xdr:row>8</xdr:row>
      <xdr:rowOff>115590</xdr:rowOff>
    </xdr:to>
    <xdr:grpSp>
      <xdr:nvGrpSpPr>
        <xdr:cNvPr id="14" name="Agrupar 35">
          <a:extLst>
            <a:ext uri="{FF2B5EF4-FFF2-40B4-BE49-F238E27FC236}">
              <a16:creationId xmlns:a16="http://schemas.microsoft.com/office/drawing/2014/main" id="{39A5760C-A112-31C6-BF46-972D8C70145D}"/>
            </a:ext>
          </a:extLst>
        </xdr:cNvPr>
        <xdr:cNvGrpSpPr/>
      </xdr:nvGrpSpPr>
      <xdr:grpSpPr>
        <a:xfrm>
          <a:off x="0" y="1402319"/>
          <a:ext cx="8439573" cy="237271"/>
          <a:chOff x="6413351" y="2713618"/>
          <a:chExt cx="7711440" cy="228600"/>
        </a:xfrm>
      </xdr:grpSpPr>
      <xdr:sp macro="" textlink="">
        <xdr:nvSpPr>
          <xdr:cNvPr id="16" name="Retângulo: Cantos Arredondados 15">
            <a:extLst>
              <a:ext uri="{FF2B5EF4-FFF2-40B4-BE49-F238E27FC236}">
                <a16:creationId xmlns:a16="http://schemas.microsoft.com/office/drawing/2014/main" id="{5FF5891B-A88E-DE7D-FF67-B5B9A3EA7AD9}"/>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17" name="CaixaDeTexto 32">
            <a:extLst>
              <a:ext uri="{FF2B5EF4-FFF2-40B4-BE49-F238E27FC236}">
                <a16:creationId xmlns:a16="http://schemas.microsoft.com/office/drawing/2014/main" id="{DA4904D2-A29A-2BA2-C519-DDFB0D99DC58}"/>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Financeiro</a:t>
            </a:r>
          </a:p>
        </xdr:txBody>
      </xdr:sp>
    </xdr:grpSp>
    <xdr:clientData/>
  </xdr:twoCellAnchor>
  <xdr:twoCellAnchor editAs="absolute">
    <xdr:from>
      <xdr:col>0</xdr:col>
      <xdr:colOff>0</xdr:colOff>
      <xdr:row>8</xdr:row>
      <xdr:rowOff>156843</xdr:rowOff>
    </xdr:from>
    <xdr:to>
      <xdr:col>12</xdr:col>
      <xdr:colOff>396240</xdr:colOff>
      <xdr:row>10</xdr:row>
      <xdr:rowOff>11012</xdr:rowOff>
    </xdr:to>
    <xdr:grpSp>
      <xdr:nvGrpSpPr>
        <xdr:cNvPr id="19" name="Agrupar 35">
          <a:extLst>
            <a:ext uri="{FF2B5EF4-FFF2-40B4-BE49-F238E27FC236}">
              <a16:creationId xmlns:a16="http://schemas.microsoft.com/office/drawing/2014/main" id="{46A28B13-6BCC-BEA6-65C3-88F8F57114AC}"/>
            </a:ext>
          </a:extLst>
        </xdr:cNvPr>
        <xdr:cNvGrpSpPr/>
      </xdr:nvGrpSpPr>
      <xdr:grpSpPr>
        <a:xfrm>
          <a:off x="0" y="1680843"/>
          <a:ext cx="8439573" cy="235169"/>
          <a:chOff x="6413351" y="2713618"/>
          <a:chExt cx="7711440" cy="228600"/>
        </a:xfrm>
      </xdr:grpSpPr>
      <xdr:sp macro="" textlink="">
        <xdr:nvSpPr>
          <xdr:cNvPr id="21" name="Retângulo: Cantos Arredondados 20">
            <a:extLst>
              <a:ext uri="{FF2B5EF4-FFF2-40B4-BE49-F238E27FC236}">
                <a16:creationId xmlns:a16="http://schemas.microsoft.com/office/drawing/2014/main" id="{2ADCD738-8C5F-AE3D-EE58-184B26A2D2F3}"/>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22" name="CaixaDeTexto 32">
            <a:extLst>
              <a:ext uri="{FF2B5EF4-FFF2-40B4-BE49-F238E27FC236}">
                <a16:creationId xmlns:a16="http://schemas.microsoft.com/office/drawing/2014/main" id="{4E0988CC-B650-0FE1-BB7B-0CA196CCB23D}"/>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Gente &amp; Cultura</a:t>
            </a:r>
          </a:p>
        </xdr:txBody>
      </xdr:sp>
    </xdr:grpSp>
    <xdr:clientData/>
  </xdr:twoCellAnchor>
  <xdr:twoCellAnchor>
    <xdr:from>
      <xdr:col>1</xdr:col>
      <xdr:colOff>464819</xdr:colOff>
      <xdr:row>4</xdr:row>
      <xdr:rowOff>166803</xdr:rowOff>
    </xdr:from>
    <xdr:to>
      <xdr:col>12</xdr:col>
      <xdr:colOff>36786</xdr:colOff>
      <xdr:row>5</xdr:row>
      <xdr:rowOff>126124</xdr:rowOff>
    </xdr:to>
    <xdr:sp macro="" textlink="">
      <xdr:nvSpPr>
        <xdr:cNvPr id="48" name="Retângulo: Cantos Arredondados 15">
          <a:extLst>
            <a:ext uri="{FF2B5EF4-FFF2-40B4-BE49-F238E27FC236}">
              <a16:creationId xmlns:a16="http://schemas.microsoft.com/office/drawing/2014/main" id="{0CE9DFFC-CB10-4B89-8581-BDBD9444C4C9}"/>
            </a:ext>
          </a:extLst>
        </xdr:cNvPr>
        <xdr:cNvSpPr/>
      </xdr:nvSpPr>
      <xdr:spPr>
        <a:xfrm>
          <a:off x="1074419" y="902527"/>
          <a:ext cx="6277567" cy="143252"/>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562300</xdr:colOff>
      <xdr:row>4</xdr:row>
      <xdr:rowOff>102027</xdr:rowOff>
    </xdr:from>
    <xdr:to>
      <xdr:col>12</xdr:col>
      <xdr:colOff>403125</xdr:colOff>
      <xdr:row>5</xdr:row>
      <xdr:rowOff>155367</xdr:rowOff>
    </xdr:to>
    <xdr:sp macro="" textlink="">
      <xdr:nvSpPr>
        <xdr:cNvPr id="50" name="CaixaDeTexto 42">
          <a:extLst>
            <a:ext uri="{FF2B5EF4-FFF2-40B4-BE49-F238E27FC236}">
              <a16:creationId xmlns:a16="http://schemas.microsoft.com/office/drawing/2014/main" id="{378E0555-A0AA-40D5-AD6C-572C9BAF957A}"/>
            </a:ext>
          </a:extLst>
        </xdr:cNvPr>
        <xdr:cNvSpPr txBox="1"/>
      </xdr:nvSpPr>
      <xdr:spPr>
        <a:xfrm>
          <a:off x="7267900" y="837751"/>
          <a:ext cx="450425" cy="2372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tx1"/>
              </a:solidFill>
            </a:rPr>
            <a:t>90%</a:t>
          </a:r>
        </a:p>
      </xdr:txBody>
    </xdr:sp>
    <xdr:clientData/>
  </xdr:twoCellAnchor>
  <xdr:twoCellAnchor>
    <xdr:from>
      <xdr:col>0</xdr:col>
      <xdr:colOff>0</xdr:colOff>
      <xdr:row>5</xdr:row>
      <xdr:rowOff>173816</xdr:rowOff>
    </xdr:from>
    <xdr:to>
      <xdr:col>12</xdr:col>
      <xdr:colOff>458453</xdr:colOff>
      <xdr:row>7</xdr:row>
      <xdr:rowOff>41432</xdr:rowOff>
    </xdr:to>
    <xdr:grpSp>
      <xdr:nvGrpSpPr>
        <xdr:cNvPr id="7202" name="Agrupar 7201">
          <a:extLst>
            <a:ext uri="{FF2B5EF4-FFF2-40B4-BE49-F238E27FC236}">
              <a16:creationId xmlns:a16="http://schemas.microsoft.com/office/drawing/2014/main" id="{4AA48473-5FFE-5D06-5737-752699ADC654}"/>
            </a:ext>
          </a:extLst>
        </xdr:cNvPr>
        <xdr:cNvGrpSpPr/>
      </xdr:nvGrpSpPr>
      <xdr:grpSpPr>
        <a:xfrm>
          <a:off x="0" y="1126316"/>
          <a:ext cx="8501786" cy="248616"/>
          <a:chOff x="0" y="1130256"/>
          <a:chExt cx="7773653" cy="235478"/>
        </a:xfrm>
      </xdr:grpSpPr>
      <xdr:grpSp>
        <xdr:nvGrpSpPr>
          <xdr:cNvPr id="7201" name="Agrupar 7200">
            <a:extLst>
              <a:ext uri="{FF2B5EF4-FFF2-40B4-BE49-F238E27FC236}">
                <a16:creationId xmlns:a16="http://schemas.microsoft.com/office/drawing/2014/main" id="{CCF8F092-200D-EC03-CBEF-1FABB1F6D712}"/>
              </a:ext>
            </a:extLst>
          </xdr:cNvPr>
          <xdr:cNvGrpSpPr/>
        </xdr:nvGrpSpPr>
        <xdr:grpSpPr>
          <a:xfrm>
            <a:off x="0" y="1130256"/>
            <a:ext cx="7711440" cy="235478"/>
            <a:chOff x="0" y="1130256"/>
            <a:chExt cx="7711440" cy="235478"/>
          </a:xfrm>
        </xdr:grpSpPr>
        <xdr:grpSp>
          <xdr:nvGrpSpPr>
            <xdr:cNvPr id="9" name="Agrupar 35">
              <a:extLst>
                <a:ext uri="{FF2B5EF4-FFF2-40B4-BE49-F238E27FC236}">
                  <a16:creationId xmlns:a16="http://schemas.microsoft.com/office/drawing/2014/main" id="{86F99D39-1844-A4E1-04DF-B8E126603484}"/>
                </a:ext>
              </a:extLst>
            </xdr:cNvPr>
            <xdr:cNvGrpSpPr/>
          </xdr:nvGrpSpPr>
          <xdr:grpSpPr>
            <a:xfrm>
              <a:off x="0" y="1130256"/>
              <a:ext cx="7711440" cy="233461"/>
              <a:chOff x="6413351" y="2713618"/>
              <a:chExt cx="7711440" cy="228600"/>
            </a:xfrm>
          </xdr:grpSpPr>
          <xdr:sp macro="" textlink="">
            <xdr:nvSpPr>
              <xdr:cNvPr id="11" name="Retângulo: Cantos Arredondados 15">
                <a:extLst>
                  <a:ext uri="{FF2B5EF4-FFF2-40B4-BE49-F238E27FC236}">
                    <a16:creationId xmlns:a16="http://schemas.microsoft.com/office/drawing/2014/main" id="{F5251AE5-7B18-BFF8-F969-AB77B1FC2AAC}"/>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12" name="CaixaDeTexto 32">
                <a:extLst>
                  <a:ext uri="{FF2B5EF4-FFF2-40B4-BE49-F238E27FC236}">
                    <a16:creationId xmlns:a16="http://schemas.microsoft.com/office/drawing/2014/main" id="{D04747A8-C418-37C9-53E1-5B3B7CDFE470}"/>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Comercial</a:t>
                </a:r>
              </a:p>
            </xdr:txBody>
          </xdr:sp>
        </xdr:grpSp>
        <xdr:sp macro="" textlink="">
          <xdr:nvSpPr>
            <xdr:cNvPr id="51" name="Retângulo: Cantos Arredondados 15">
              <a:extLst>
                <a:ext uri="{FF2B5EF4-FFF2-40B4-BE49-F238E27FC236}">
                  <a16:creationId xmlns:a16="http://schemas.microsoft.com/office/drawing/2014/main" id="{D3E2DD42-BD42-4B56-B5E7-F4C3EA41BD83}"/>
                </a:ext>
              </a:extLst>
            </xdr:cNvPr>
            <xdr:cNvSpPr/>
          </xdr:nvSpPr>
          <xdr:spPr>
            <a:xfrm>
              <a:off x="1059179" y="1196368"/>
              <a:ext cx="5914435" cy="143702"/>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54" name="CaixaDeTexto 42">
              <a:extLst>
                <a:ext uri="{FF2B5EF4-FFF2-40B4-BE49-F238E27FC236}">
                  <a16:creationId xmlns:a16="http://schemas.microsoft.com/office/drawing/2014/main" id="{0915D60D-82ED-45B8-B124-0452387E5E31}"/>
                </a:ext>
              </a:extLst>
            </xdr:cNvPr>
            <xdr:cNvSpPr txBox="1"/>
          </xdr:nvSpPr>
          <xdr:spPr>
            <a:xfrm>
              <a:off x="5444530" y="1134066"/>
              <a:ext cx="535324" cy="222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66%</a:t>
              </a:r>
            </a:p>
          </xdr:txBody>
        </xdr:sp>
        <xdr:sp macro="" textlink="">
          <xdr:nvSpPr>
            <xdr:cNvPr id="7178" name="Elipse 7177">
              <a:extLst>
                <a:ext uri="{FF2B5EF4-FFF2-40B4-BE49-F238E27FC236}">
                  <a16:creationId xmlns:a16="http://schemas.microsoft.com/office/drawing/2014/main" id="{0C708B9C-CB15-406C-9A0E-830B4051C33A}"/>
                </a:ext>
              </a:extLst>
            </xdr:cNvPr>
            <xdr:cNvSpPr/>
          </xdr:nvSpPr>
          <xdr:spPr>
            <a:xfrm>
              <a:off x="5308568" y="1156478"/>
              <a:ext cx="196526" cy="209256"/>
            </a:xfrm>
            <a:prstGeom prst="ellipse">
              <a:avLst/>
            </a:prstGeom>
            <a:gradFill>
              <a:gsLst>
                <a:gs pos="0">
                  <a:srgbClr val="C00000"/>
                </a:gs>
                <a:gs pos="50000">
                  <a:srgbClr val="FF0000"/>
                </a:gs>
                <a:gs pos="100000">
                  <a:srgbClr val="FF00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sp macro="" textlink="">
          <xdr:nvSpPr>
            <xdr:cNvPr id="7189" name="CaixaDeTexto 42">
              <a:extLst>
                <a:ext uri="{FF2B5EF4-FFF2-40B4-BE49-F238E27FC236}">
                  <a16:creationId xmlns:a16="http://schemas.microsoft.com/office/drawing/2014/main" id="{2EE857BB-F4A4-4D32-BA35-4617439EFE0B}"/>
                </a:ext>
              </a:extLst>
            </xdr:cNvPr>
            <xdr:cNvSpPr txBox="1"/>
          </xdr:nvSpPr>
          <xdr:spPr>
            <a:xfrm>
              <a:off x="1044278" y="1143333"/>
              <a:ext cx="3012715"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a:t>
              </a:r>
              <a:r>
                <a:rPr lang="en-US" sz="900" b="1" i="1">
                  <a:solidFill>
                    <a:schemeClr val="bg1"/>
                  </a:solidFill>
                </a:rPr>
                <a:t>17%</a:t>
              </a:r>
            </a:p>
          </xdr:txBody>
        </xdr:sp>
      </xdr:grpSp>
      <xdr:sp macro="" textlink="">
        <xdr:nvSpPr>
          <xdr:cNvPr id="52" name="CaixaDeTexto 42">
            <a:extLst>
              <a:ext uri="{FF2B5EF4-FFF2-40B4-BE49-F238E27FC236}">
                <a16:creationId xmlns:a16="http://schemas.microsoft.com/office/drawing/2014/main" id="{551CC983-225E-458D-A43A-9BB42A45F7A1}"/>
              </a:ext>
            </a:extLst>
          </xdr:cNvPr>
          <xdr:cNvSpPr txBox="1"/>
        </xdr:nvSpPr>
        <xdr:spPr>
          <a:xfrm>
            <a:off x="6904079" y="1135407"/>
            <a:ext cx="869574"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83%</a:t>
            </a:r>
          </a:p>
        </xdr:txBody>
      </xdr:sp>
    </xdr:grpSp>
    <xdr:clientData/>
  </xdr:twoCellAnchor>
  <xdr:twoCellAnchor>
    <xdr:from>
      <xdr:col>1</xdr:col>
      <xdr:colOff>464820</xdr:colOff>
      <xdr:row>7</xdr:row>
      <xdr:rowOff>125891</xdr:rowOff>
    </xdr:from>
    <xdr:to>
      <xdr:col>11</xdr:col>
      <xdr:colOff>593834</xdr:colOff>
      <xdr:row>8</xdr:row>
      <xdr:rowOff>110361</xdr:rowOff>
    </xdr:to>
    <xdr:sp macro="" textlink="">
      <xdr:nvSpPr>
        <xdr:cNvPr id="55" name="Retângulo: Cantos Arredondados 15">
          <a:extLst>
            <a:ext uri="{FF2B5EF4-FFF2-40B4-BE49-F238E27FC236}">
              <a16:creationId xmlns:a16="http://schemas.microsoft.com/office/drawing/2014/main" id="{3C99DFE7-8CDA-4CB6-9321-BF0111A9209B}"/>
            </a:ext>
          </a:extLst>
        </xdr:cNvPr>
        <xdr:cNvSpPr/>
      </xdr:nvSpPr>
      <xdr:spPr>
        <a:xfrm>
          <a:off x="1074420" y="1413408"/>
          <a:ext cx="6225014" cy="168401"/>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11</xdr:col>
      <xdr:colOff>558359</xdr:colOff>
      <xdr:row>7</xdr:row>
      <xdr:rowOff>63881</xdr:rowOff>
    </xdr:from>
    <xdr:to>
      <xdr:col>12</xdr:col>
      <xdr:colOff>387717</xdr:colOff>
      <xdr:row>8</xdr:row>
      <xdr:rowOff>86528</xdr:rowOff>
    </xdr:to>
    <xdr:sp macro="" textlink="">
      <xdr:nvSpPr>
        <xdr:cNvPr id="56" name="CaixaDeTexto 42">
          <a:extLst>
            <a:ext uri="{FF2B5EF4-FFF2-40B4-BE49-F238E27FC236}">
              <a16:creationId xmlns:a16="http://schemas.microsoft.com/office/drawing/2014/main" id="{90BFBEFE-A583-4579-90F1-2BE186EAA8F7}"/>
            </a:ext>
          </a:extLst>
        </xdr:cNvPr>
        <xdr:cNvSpPr txBox="1"/>
      </xdr:nvSpPr>
      <xdr:spPr>
        <a:xfrm>
          <a:off x="7263959" y="1351398"/>
          <a:ext cx="438958" cy="2065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88%</a:t>
          </a:r>
        </a:p>
      </xdr:txBody>
    </xdr:sp>
    <xdr:clientData/>
  </xdr:twoCellAnchor>
  <xdr:twoCellAnchor>
    <xdr:from>
      <xdr:col>11</xdr:col>
      <xdr:colOff>425179</xdr:colOff>
      <xdr:row>7</xdr:row>
      <xdr:rowOff>91181</xdr:rowOff>
    </xdr:from>
    <xdr:to>
      <xdr:col>12</xdr:col>
      <xdr:colOff>10135</xdr:colOff>
      <xdr:row>8</xdr:row>
      <xdr:rowOff>114489</xdr:rowOff>
    </xdr:to>
    <xdr:sp macro="" textlink="">
      <xdr:nvSpPr>
        <xdr:cNvPr id="59" name="Elipse 58">
          <a:extLst>
            <a:ext uri="{FF2B5EF4-FFF2-40B4-BE49-F238E27FC236}">
              <a16:creationId xmlns:a16="http://schemas.microsoft.com/office/drawing/2014/main" id="{4F87F8B6-E398-4396-AF4C-8121CD9E65E4}"/>
            </a:ext>
          </a:extLst>
        </xdr:cNvPr>
        <xdr:cNvSpPr/>
      </xdr:nvSpPr>
      <xdr:spPr>
        <a:xfrm>
          <a:off x="7130779" y="1378698"/>
          <a:ext cx="194556" cy="207239"/>
        </a:xfrm>
        <a:prstGeom prst="ellipse">
          <a:avLst/>
        </a:prstGeom>
        <a:gradFill rotWithShape="1">
          <a:gsLst>
            <a:gs pos="0">
              <a:srgbClr val="4EA72E">
                <a:satMod val="103000"/>
                <a:lumMod val="102000"/>
                <a:tint val="94000"/>
              </a:srgbClr>
            </a:gs>
            <a:gs pos="50000">
              <a:srgbClr val="4EA72E">
                <a:satMod val="110000"/>
                <a:lumMod val="100000"/>
                <a:shade val="100000"/>
              </a:srgbClr>
            </a:gs>
            <a:gs pos="100000">
              <a:srgbClr val="4EA72E">
                <a:lumMod val="99000"/>
                <a:satMod val="120000"/>
                <a:shade val="78000"/>
              </a:srgbClr>
            </a:gs>
          </a:gsLst>
          <a:lin ang="5400000" scaled="0"/>
        </a:gradFill>
        <a:ln w="12700" cap="flat" cmpd="sng" algn="ctr">
          <a:noFill/>
          <a:prstDash val="solid"/>
          <a:miter lim="800000"/>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Aptos Narrow" panose="02110004020202020204"/>
            <a:ea typeface="+mn-ea"/>
            <a:cs typeface="+mn-cs"/>
          </a:endParaRPr>
        </a:p>
      </xdr:txBody>
    </xdr:sp>
    <xdr:clientData/>
  </xdr:twoCellAnchor>
  <xdr:twoCellAnchor>
    <xdr:from>
      <xdr:col>1</xdr:col>
      <xdr:colOff>457200</xdr:colOff>
      <xdr:row>9</xdr:row>
      <xdr:rowOff>22364</xdr:rowOff>
    </xdr:from>
    <xdr:to>
      <xdr:col>7</xdr:col>
      <xdr:colOff>315310</xdr:colOff>
      <xdr:row>10</xdr:row>
      <xdr:rowOff>4</xdr:rowOff>
    </xdr:to>
    <xdr:sp macro="" textlink="">
      <xdr:nvSpPr>
        <xdr:cNvPr id="60" name="Retângulo: Cantos Arredondados 15">
          <a:extLst>
            <a:ext uri="{FF2B5EF4-FFF2-40B4-BE49-F238E27FC236}">
              <a16:creationId xmlns:a16="http://schemas.microsoft.com/office/drawing/2014/main" id="{7AFDD422-28E9-4048-AFA8-34F970D04CD9}"/>
            </a:ext>
          </a:extLst>
        </xdr:cNvPr>
        <xdr:cNvSpPr/>
      </xdr:nvSpPr>
      <xdr:spPr>
        <a:xfrm>
          <a:off x="1066800" y="1677743"/>
          <a:ext cx="3515710" cy="161571"/>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7</xdr:col>
      <xdr:colOff>267709</xdr:colOff>
      <xdr:row>8</xdr:row>
      <xdr:rowOff>151905</xdr:rowOff>
    </xdr:from>
    <xdr:to>
      <xdr:col>8</xdr:col>
      <xdr:colOff>527685</xdr:colOff>
      <xdr:row>10</xdr:row>
      <xdr:rowOff>248</xdr:rowOff>
    </xdr:to>
    <xdr:sp macro="" textlink="">
      <xdr:nvSpPr>
        <xdr:cNvPr id="61" name="CaixaDeTexto 42">
          <a:extLst>
            <a:ext uri="{FF2B5EF4-FFF2-40B4-BE49-F238E27FC236}">
              <a16:creationId xmlns:a16="http://schemas.microsoft.com/office/drawing/2014/main" id="{FDDC22CA-A3FC-4713-A1CF-1C3BFB32A17B}"/>
            </a:ext>
          </a:extLst>
        </xdr:cNvPr>
        <xdr:cNvSpPr txBox="1"/>
      </xdr:nvSpPr>
      <xdr:spPr>
        <a:xfrm>
          <a:off x="4534909" y="1623353"/>
          <a:ext cx="869576"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58%</a:t>
          </a:r>
        </a:p>
      </xdr:txBody>
    </xdr:sp>
    <xdr:clientData/>
  </xdr:twoCellAnchor>
  <xdr:twoCellAnchor>
    <xdr:from>
      <xdr:col>6</xdr:col>
      <xdr:colOff>265719</xdr:colOff>
      <xdr:row>9</xdr:row>
      <xdr:rowOff>7625</xdr:rowOff>
    </xdr:from>
    <xdr:to>
      <xdr:col>6</xdr:col>
      <xdr:colOff>462403</xdr:colOff>
      <xdr:row>10</xdr:row>
      <xdr:rowOff>31984</xdr:rowOff>
    </xdr:to>
    <xdr:sp macro="" textlink="">
      <xdr:nvSpPr>
        <xdr:cNvPr id="62" name="Elipse 61">
          <a:extLst>
            <a:ext uri="{FF2B5EF4-FFF2-40B4-BE49-F238E27FC236}">
              <a16:creationId xmlns:a16="http://schemas.microsoft.com/office/drawing/2014/main" id="{DD386C7E-96D9-4E83-8D67-46D677D446D5}"/>
            </a:ext>
          </a:extLst>
        </xdr:cNvPr>
        <xdr:cNvSpPr/>
      </xdr:nvSpPr>
      <xdr:spPr>
        <a:xfrm>
          <a:off x="3923319" y="1663004"/>
          <a:ext cx="196684" cy="208290"/>
        </a:xfrm>
        <a:prstGeom prst="ellipse">
          <a:avLst/>
        </a:prstGeom>
        <a:gradFill>
          <a:gsLst>
            <a:gs pos="0">
              <a:srgbClr val="FFFF00"/>
            </a:gs>
            <a:gs pos="50000">
              <a:srgbClr val="FFFF00"/>
            </a:gs>
            <a:gs pos="100000">
              <a:srgbClr val="FFFF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clientData/>
  </xdr:twoCellAnchor>
  <xdr:twoCellAnchor>
    <xdr:from>
      <xdr:col>6</xdr:col>
      <xdr:colOff>425970</xdr:colOff>
      <xdr:row>8</xdr:row>
      <xdr:rowOff>153456</xdr:rowOff>
    </xdr:from>
    <xdr:to>
      <xdr:col>7</xdr:col>
      <xdr:colOff>289034</xdr:colOff>
      <xdr:row>10</xdr:row>
      <xdr:rowOff>1799</xdr:rowOff>
    </xdr:to>
    <xdr:sp macro="" textlink="">
      <xdr:nvSpPr>
        <xdr:cNvPr id="63" name="CaixaDeTexto 42">
          <a:extLst>
            <a:ext uri="{FF2B5EF4-FFF2-40B4-BE49-F238E27FC236}">
              <a16:creationId xmlns:a16="http://schemas.microsoft.com/office/drawing/2014/main" id="{47C623A4-AB3D-412E-8843-18479AD3B1DE}"/>
            </a:ext>
          </a:extLst>
        </xdr:cNvPr>
        <xdr:cNvSpPr txBox="1"/>
      </xdr:nvSpPr>
      <xdr:spPr>
        <a:xfrm>
          <a:off x="4083570" y="1624904"/>
          <a:ext cx="472664"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50%</a:t>
          </a:r>
        </a:p>
      </xdr:txBody>
    </xdr:sp>
    <xdr:clientData/>
  </xdr:twoCellAnchor>
  <xdr:twoCellAnchor>
    <xdr:from>
      <xdr:col>0</xdr:col>
      <xdr:colOff>0</xdr:colOff>
      <xdr:row>13</xdr:row>
      <xdr:rowOff>67506</xdr:rowOff>
    </xdr:from>
    <xdr:to>
      <xdr:col>12</xdr:col>
      <xdr:colOff>396240</xdr:colOff>
      <xdr:row>14</xdr:row>
      <xdr:rowOff>149219</xdr:rowOff>
    </xdr:to>
    <xdr:grpSp>
      <xdr:nvGrpSpPr>
        <xdr:cNvPr id="7207" name="Agrupar 7206">
          <a:extLst>
            <a:ext uri="{FF2B5EF4-FFF2-40B4-BE49-F238E27FC236}">
              <a16:creationId xmlns:a16="http://schemas.microsoft.com/office/drawing/2014/main" id="{4FA15AC8-32F3-D572-339C-225BB131781B}"/>
            </a:ext>
          </a:extLst>
        </xdr:cNvPr>
        <xdr:cNvGrpSpPr/>
      </xdr:nvGrpSpPr>
      <xdr:grpSpPr>
        <a:xfrm>
          <a:off x="0" y="2544006"/>
          <a:ext cx="8439573" cy="272213"/>
          <a:chOff x="0" y="2815960"/>
          <a:chExt cx="7711440" cy="265644"/>
        </a:xfrm>
      </xdr:grpSpPr>
      <xdr:grpSp>
        <xdr:nvGrpSpPr>
          <xdr:cNvPr id="7206" name="Agrupar 7205">
            <a:extLst>
              <a:ext uri="{FF2B5EF4-FFF2-40B4-BE49-F238E27FC236}">
                <a16:creationId xmlns:a16="http://schemas.microsoft.com/office/drawing/2014/main" id="{D65266EB-D56E-2D59-A6C2-B5A670FDB0AC}"/>
              </a:ext>
            </a:extLst>
          </xdr:cNvPr>
          <xdr:cNvGrpSpPr/>
        </xdr:nvGrpSpPr>
        <xdr:grpSpPr>
          <a:xfrm>
            <a:off x="0" y="2815960"/>
            <a:ext cx="7711440" cy="265644"/>
            <a:chOff x="0" y="2815960"/>
            <a:chExt cx="7711440" cy="265644"/>
          </a:xfrm>
        </xdr:grpSpPr>
        <xdr:grpSp>
          <xdr:nvGrpSpPr>
            <xdr:cNvPr id="34" name="Agrupar 35">
              <a:extLst>
                <a:ext uri="{FF2B5EF4-FFF2-40B4-BE49-F238E27FC236}">
                  <a16:creationId xmlns:a16="http://schemas.microsoft.com/office/drawing/2014/main" id="{7215C5B0-90D4-6F5E-079A-22CA6D3771E9}"/>
                </a:ext>
              </a:extLst>
            </xdr:cNvPr>
            <xdr:cNvGrpSpPr/>
          </xdr:nvGrpSpPr>
          <xdr:grpSpPr>
            <a:xfrm>
              <a:off x="0" y="2815960"/>
              <a:ext cx="7711440" cy="232607"/>
              <a:chOff x="6413351" y="2713618"/>
              <a:chExt cx="7711440" cy="228600"/>
            </a:xfrm>
          </xdr:grpSpPr>
          <xdr:sp macro="" textlink="">
            <xdr:nvSpPr>
              <xdr:cNvPr id="36" name="Retângulo: Cantos Arredondados 35">
                <a:extLst>
                  <a:ext uri="{FF2B5EF4-FFF2-40B4-BE49-F238E27FC236}">
                    <a16:creationId xmlns:a16="http://schemas.microsoft.com/office/drawing/2014/main" id="{A9240D57-6093-1C8E-8D9F-FD969A5F1F02}"/>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7" name="CaixaDeTexto 32">
                <a:extLst>
                  <a:ext uri="{FF2B5EF4-FFF2-40B4-BE49-F238E27FC236}">
                    <a16:creationId xmlns:a16="http://schemas.microsoft.com/office/drawing/2014/main" id="{C11B25D2-209D-26B5-228E-C58DAF445FE1}"/>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Produtos</a:t>
                </a:r>
              </a:p>
            </xdr:txBody>
          </xdr:sp>
        </xdr:grpSp>
        <xdr:sp macro="" textlink="">
          <xdr:nvSpPr>
            <xdr:cNvPr id="72" name="Retângulo: Cantos Arredondados 15">
              <a:extLst>
                <a:ext uri="{FF2B5EF4-FFF2-40B4-BE49-F238E27FC236}">
                  <a16:creationId xmlns:a16="http://schemas.microsoft.com/office/drawing/2014/main" id="{34C9419E-FF53-4E6D-8625-1012203D55FF}"/>
                </a:ext>
              </a:extLst>
            </xdr:cNvPr>
            <xdr:cNvSpPr/>
          </xdr:nvSpPr>
          <xdr:spPr>
            <a:xfrm>
              <a:off x="1074420" y="2864888"/>
              <a:ext cx="3345180" cy="183115"/>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73" name="CaixaDeTexto 42">
              <a:extLst>
                <a:ext uri="{FF2B5EF4-FFF2-40B4-BE49-F238E27FC236}">
                  <a16:creationId xmlns:a16="http://schemas.microsoft.com/office/drawing/2014/main" id="{300B3ACE-D11A-478D-BEC6-A1A04E828D38}"/>
                </a:ext>
              </a:extLst>
            </xdr:cNvPr>
            <xdr:cNvSpPr txBox="1"/>
          </xdr:nvSpPr>
          <xdr:spPr>
            <a:xfrm>
              <a:off x="4338265" y="2829152"/>
              <a:ext cx="495222" cy="2524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56%</a:t>
              </a:r>
            </a:p>
          </xdr:txBody>
        </xdr:sp>
        <xdr:sp macro="" textlink="">
          <xdr:nvSpPr>
            <xdr:cNvPr id="75" name="CaixaDeTexto 42">
              <a:extLst>
                <a:ext uri="{FF2B5EF4-FFF2-40B4-BE49-F238E27FC236}">
                  <a16:creationId xmlns:a16="http://schemas.microsoft.com/office/drawing/2014/main" id="{6D1EC7C9-0588-4461-B2C5-D5879CBA2417}"/>
                </a:ext>
              </a:extLst>
            </xdr:cNvPr>
            <xdr:cNvSpPr txBox="1"/>
          </xdr:nvSpPr>
          <xdr:spPr>
            <a:xfrm>
              <a:off x="2342404" y="2817300"/>
              <a:ext cx="487373" cy="2084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23%</a:t>
              </a:r>
            </a:p>
          </xdr:txBody>
        </xdr:sp>
        <xdr:sp macro="" textlink="">
          <xdr:nvSpPr>
            <xdr:cNvPr id="7193" name="CaixaDeTexto 42">
              <a:extLst>
                <a:ext uri="{FF2B5EF4-FFF2-40B4-BE49-F238E27FC236}">
                  <a16:creationId xmlns:a16="http://schemas.microsoft.com/office/drawing/2014/main" id="{F465F946-A788-40F9-8A13-BFFFBFC3E162}"/>
                </a:ext>
              </a:extLst>
            </xdr:cNvPr>
            <xdr:cNvSpPr txBox="1"/>
          </xdr:nvSpPr>
          <xdr:spPr>
            <a:xfrm>
              <a:off x="1003738" y="2837793"/>
              <a:ext cx="1324303" cy="2364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33</a:t>
              </a:r>
              <a:r>
                <a:rPr lang="en-US" sz="900" b="1" i="1">
                  <a:solidFill>
                    <a:schemeClr val="bg1"/>
                  </a:solidFill>
                </a:rPr>
                <a:t>%</a:t>
              </a:r>
            </a:p>
          </xdr:txBody>
        </xdr:sp>
      </xdr:grpSp>
      <xdr:sp macro="" textlink="">
        <xdr:nvSpPr>
          <xdr:cNvPr id="74" name="Elipse 73">
            <a:extLst>
              <a:ext uri="{FF2B5EF4-FFF2-40B4-BE49-F238E27FC236}">
                <a16:creationId xmlns:a16="http://schemas.microsoft.com/office/drawing/2014/main" id="{2D8DA11F-3E22-49DA-98E5-2D27B0370E7F}"/>
              </a:ext>
            </a:extLst>
          </xdr:cNvPr>
          <xdr:cNvSpPr/>
        </xdr:nvSpPr>
        <xdr:spPr>
          <a:xfrm>
            <a:off x="2191018" y="2855399"/>
            <a:ext cx="195145" cy="208290"/>
          </a:xfrm>
          <a:prstGeom prst="ellipse">
            <a:avLst/>
          </a:prstGeom>
          <a:gradFill>
            <a:gsLst>
              <a:gs pos="0">
                <a:srgbClr val="C00000"/>
              </a:gs>
              <a:gs pos="50000">
                <a:srgbClr val="FF0000"/>
              </a:gs>
              <a:gs pos="100000">
                <a:srgbClr val="FF00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pt-BR" sz="1100"/>
          </a:p>
        </xdr:txBody>
      </xdr:sp>
    </xdr:grpSp>
    <xdr:clientData/>
  </xdr:twoCellAnchor>
  <xdr:twoCellAnchor editAs="absolute">
    <xdr:from>
      <xdr:col>5</xdr:col>
      <xdr:colOff>187614</xdr:colOff>
      <xdr:row>0</xdr:row>
      <xdr:rowOff>174836</xdr:rowOff>
    </xdr:from>
    <xdr:to>
      <xdr:col>7</xdr:col>
      <xdr:colOff>55014</xdr:colOff>
      <xdr:row>4</xdr:row>
      <xdr:rowOff>10160</xdr:rowOff>
    </xdr:to>
    <xdr:grpSp>
      <xdr:nvGrpSpPr>
        <xdr:cNvPr id="49" name="Agrupar 48">
          <a:extLst>
            <a:ext uri="{FF2B5EF4-FFF2-40B4-BE49-F238E27FC236}">
              <a16:creationId xmlns:a16="http://schemas.microsoft.com/office/drawing/2014/main" id="{A8A62A3D-8E2B-4B50-8800-790CA803AC08}"/>
            </a:ext>
          </a:extLst>
        </xdr:cNvPr>
        <xdr:cNvGrpSpPr/>
      </xdr:nvGrpSpPr>
      <xdr:grpSpPr>
        <a:xfrm>
          <a:off x="3539003" y="174836"/>
          <a:ext cx="1207955" cy="597324"/>
          <a:chOff x="60614" y="33618"/>
          <a:chExt cx="1308870" cy="738966"/>
        </a:xfrm>
      </xdr:grpSpPr>
      <xdr:sp macro="" textlink="">
        <xdr:nvSpPr>
          <xdr:cNvPr id="53" name="CaixaDeTexto 52">
            <a:extLst>
              <a:ext uri="{FF2B5EF4-FFF2-40B4-BE49-F238E27FC236}">
                <a16:creationId xmlns:a16="http://schemas.microsoft.com/office/drawing/2014/main" id="{A179E28C-F568-7709-83C9-D689D626E966}"/>
              </a:ext>
            </a:extLst>
          </xdr:cNvPr>
          <xdr:cNvSpPr txBox="1"/>
        </xdr:nvSpPr>
        <xdr:spPr>
          <a:xfrm>
            <a:off x="61034" y="328083"/>
            <a:ext cx="1305484" cy="444501"/>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chemeClr val="bg1"/>
                </a:solidFill>
                <a:latin typeface="Calibri"/>
                <a:ea typeface="Calibri"/>
                <a:cs typeface="Calibri"/>
              </a:rPr>
              <a:t>73% </a:t>
            </a:r>
          </a:p>
        </xdr:txBody>
      </xdr:sp>
      <xdr:sp macro="" textlink="">
        <xdr:nvSpPr>
          <xdr:cNvPr id="7179" name="CaixaDeTexto 7178">
            <a:extLst>
              <a:ext uri="{FF2B5EF4-FFF2-40B4-BE49-F238E27FC236}">
                <a16:creationId xmlns:a16="http://schemas.microsoft.com/office/drawing/2014/main" id="{FF35D059-7727-9790-0579-8938AA0F2FFC}"/>
              </a:ext>
            </a:extLst>
          </xdr:cNvPr>
          <xdr:cNvSpPr txBox="1"/>
        </xdr:nvSpPr>
        <xdr:spPr>
          <a:xfrm>
            <a:off x="60614" y="33618"/>
            <a:ext cx="1308870" cy="357965"/>
          </a:xfrm>
          <a:prstGeom prst="rect">
            <a:avLst/>
          </a:prstGeom>
          <a:solidFill>
            <a:schemeClr val="tx2">
              <a:lumMod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alibri"/>
                <a:cs typeface="Calibri"/>
              </a:rPr>
              <a:t>PREVISTO</a:t>
            </a:r>
          </a:p>
        </xdr:txBody>
      </xdr:sp>
    </xdr:grpSp>
    <xdr:clientData/>
  </xdr:twoCellAnchor>
  <xdr:twoCellAnchor editAs="absolute">
    <xdr:from>
      <xdr:col>7</xdr:col>
      <xdr:colOff>149184</xdr:colOff>
      <xdr:row>0</xdr:row>
      <xdr:rowOff>173296</xdr:rowOff>
    </xdr:from>
    <xdr:to>
      <xdr:col>9</xdr:col>
      <xdr:colOff>15768</xdr:colOff>
      <xdr:row>4</xdr:row>
      <xdr:rowOff>8620</xdr:rowOff>
    </xdr:to>
    <xdr:grpSp>
      <xdr:nvGrpSpPr>
        <xdr:cNvPr id="7180" name="Agrupar 7179">
          <a:extLst>
            <a:ext uri="{FF2B5EF4-FFF2-40B4-BE49-F238E27FC236}">
              <a16:creationId xmlns:a16="http://schemas.microsoft.com/office/drawing/2014/main" id="{AD8595AD-7DE8-4E4F-A9A5-B671FA3732CA}"/>
            </a:ext>
          </a:extLst>
        </xdr:cNvPr>
        <xdr:cNvGrpSpPr/>
      </xdr:nvGrpSpPr>
      <xdr:grpSpPr>
        <a:xfrm>
          <a:off x="4841128" y="173296"/>
          <a:ext cx="1207140" cy="597324"/>
          <a:chOff x="60614" y="33618"/>
          <a:chExt cx="1309419" cy="738966"/>
        </a:xfrm>
      </xdr:grpSpPr>
      <xdr:sp macro="" textlink="">
        <xdr:nvSpPr>
          <xdr:cNvPr id="7181" name="CaixaDeTexto 7180">
            <a:extLst>
              <a:ext uri="{FF2B5EF4-FFF2-40B4-BE49-F238E27FC236}">
                <a16:creationId xmlns:a16="http://schemas.microsoft.com/office/drawing/2014/main" id="{9DC57BF5-926C-945D-5F70-62526B089578}"/>
              </a:ext>
            </a:extLst>
          </xdr:cNvPr>
          <xdr:cNvSpPr txBox="1"/>
        </xdr:nvSpPr>
        <xdr:spPr>
          <a:xfrm>
            <a:off x="61034" y="328083"/>
            <a:ext cx="1308999" cy="444501"/>
          </a:xfrm>
          <a:prstGeom prst="rect">
            <a:avLst/>
          </a:prstGeom>
          <a:solidFill>
            <a:srgbClr val="C0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0" u="none" strike="noStrike">
                <a:solidFill>
                  <a:schemeClr val="bg1"/>
                </a:solidFill>
                <a:latin typeface="Calibri"/>
                <a:ea typeface="Calibri"/>
                <a:cs typeface="Calibri"/>
              </a:rPr>
              <a:t>51%</a:t>
            </a:r>
          </a:p>
        </xdr:txBody>
      </xdr:sp>
      <xdr:sp macro="" textlink="">
        <xdr:nvSpPr>
          <xdr:cNvPr id="7182" name="CaixaDeTexto 7181">
            <a:extLst>
              <a:ext uri="{FF2B5EF4-FFF2-40B4-BE49-F238E27FC236}">
                <a16:creationId xmlns:a16="http://schemas.microsoft.com/office/drawing/2014/main" id="{6CE31B7D-A833-3B77-7D0A-30F85F316B60}"/>
              </a:ext>
            </a:extLst>
          </xdr:cNvPr>
          <xdr:cNvSpPr txBox="1"/>
        </xdr:nvSpPr>
        <xdr:spPr>
          <a:xfrm>
            <a:off x="60614" y="33618"/>
            <a:ext cx="1308870" cy="357965"/>
          </a:xfrm>
          <a:prstGeom prst="rect">
            <a:avLst/>
          </a:prstGeom>
          <a:solidFill>
            <a:srgbClr val="C00000"/>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i="0" u="none" strike="noStrike">
                <a:solidFill>
                  <a:schemeClr val="bg1"/>
                </a:solidFill>
                <a:latin typeface="Calibri"/>
                <a:cs typeface="Calibri"/>
              </a:rPr>
              <a:t>REALIZADO</a:t>
            </a:r>
          </a:p>
        </xdr:txBody>
      </xdr:sp>
    </xdr:grpSp>
    <xdr:clientData/>
  </xdr:twoCellAnchor>
  <xdr:twoCellAnchor>
    <xdr:from>
      <xdr:col>0</xdr:col>
      <xdr:colOff>26670</xdr:colOff>
      <xdr:row>1</xdr:row>
      <xdr:rowOff>130809</xdr:rowOff>
    </xdr:from>
    <xdr:to>
      <xdr:col>4</xdr:col>
      <xdr:colOff>225972</xdr:colOff>
      <xdr:row>4</xdr:row>
      <xdr:rowOff>78827</xdr:rowOff>
    </xdr:to>
    <xdr:sp macro="" textlink="">
      <xdr:nvSpPr>
        <xdr:cNvPr id="7183" name="CaixaDeTexto 7182">
          <a:extLst>
            <a:ext uri="{FF2B5EF4-FFF2-40B4-BE49-F238E27FC236}">
              <a16:creationId xmlns:a16="http://schemas.microsoft.com/office/drawing/2014/main" id="{501259AE-4312-4C35-B005-65BB8E0E9E13}"/>
            </a:ext>
          </a:extLst>
        </xdr:cNvPr>
        <xdr:cNvSpPr txBox="1"/>
      </xdr:nvSpPr>
      <xdr:spPr>
        <a:xfrm>
          <a:off x="26670" y="314740"/>
          <a:ext cx="2637702" cy="499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1200" b="0" i="1">
              <a:solidFill>
                <a:schemeClr val="accent1">
                  <a:lumMod val="50000"/>
                </a:schemeClr>
              </a:solidFill>
            </a:rPr>
            <a:t>Performance de evolução das entregas do Portfólio de Iniciativas</a:t>
          </a:r>
        </a:p>
      </xdr:txBody>
    </xdr:sp>
    <xdr:clientData/>
  </xdr:twoCellAnchor>
  <xdr:twoCellAnchor>
    <xdr:from>
      <xdr:col>0</xdr:col>
      <xdr:colOff>19050</xdr:colOff>
      <xdr:row>0</xdr:row>
      <xdr:rowOff>6350</xdr:rowOff>
    </xdr:from>
    <xdr:to>
      <xdr:col>4</xdr:col>
      <xdr:colOff>273269</xdr:colOff>
      <xdr:row>2</xdr:row>
      <xdr:rowOff>77470</xdr:rowOff>
    </xdr:to>
    <xdr:sp macro="" textlink="">
      <xdr:nvSpPr>
        <xdr:cNvPr id="7184" name="CaixaDeTexto 7183">
          <a:extLst>
            <a:ext uri="{FF2B5EF4-FFF2-40B4-BE49-F238E27FC236}">
              <a16:creationId xmlns:a16="http://schemas.microsoft.com/office/drawing/2014/main" id="{760076E9-409B-4C81-ACB6-8A6B9BB571E5}"/>
            </a:ext>
          </a:extLst>
        </xdr:cNvPr>
        <xdr:cNvSpPr txBox="1"/>
      </xdr:nvSpPr>
      <xdr:spPr>
        <a:xfrm>
          <a:off x="19050" y="6350"/>
          <a:ext cx="2692619" cy="4389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pt-BR" sz="2000" b="1">
              <a:solidFill>
                <a:schemeClr val="accent1">
                  <a:lumMod val="50000"/>
                </a:schemeClr>
              </a:solidFill>
            </a:rPr>
            <a:t>MONITORAMENTO</a:t>
          </a:r>
        </a:p>
      </xdr:txBody>
    </xdr:sp>
    <xdr:clientData/>
  </xdr:twoCellAnchor>
  <xdr:twoCellAnchor>
    <xdr:from>
      <xdr:col>10</xdr:col>
      <xdr:colOff>250620</xdr:colOff>
      <xdr:row>4</xdr:row>
      <xdr:rowOff>98320</xdr:rowOff>
    </xdr:from>
    <xdr:to>
      <xdr:col>11</xdr:col>
      <xdr:colOff>176344</xdr:colOff>
      <xdr:row>5</xdr:row>
      <xdr:rowOff>137113</xdr:rowOff>
    </xdr:to>
    <xdr:sp macro="" textlink="">
      <xdr:nvSpPr>
        <xdr:cNvPr id="7185" name="CaixaDeTexto 42">
          <a:extLst>
            <a:ext uri="{FF2B5EF4-FFF2-40B4-BE49-F238E27FC236}">
              <a16:creationId xmlns:a16="http://schemas.microsoft.com/office/drawing/2014/main" id="{ADB981A9-3754-43DB-BBFA-84A94083495D}"/>
            </a:ext>
          </a:extLst>
        </xdr:cNvPr>
        <xdr:cNvSpPr txBox="1"/>
      </xdr:nvSpPr>
      <xdr:spPr>
        <a:xfrm>
          <a:off x="6346620" y="834044"/>
          <a:ext cx="535324" cy="222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81%</a:t>
          </a:r>
        </a:p>
      </xdr:txBody>
    </xdr:sp>
    <xdr:clientData/>
  </xdr:twoCellAnchor>
  <xdr:twoCellAnchor>
    <xdr:from>
      <xdr:col>11</xdr:col>
      <xdr:colOff>20065</xdr:colOff>
      <xdr:row>4</xdr:row>
      <xdr:rowOff>120732</xdr:rowOff>
    </xdr:from>
    <xdr:to>
      <xdr:col>11</xdr:col>
      <xdr:colOff>216591</xdr:colOff>
      <xdr:row>5</xdr:row>
      <xdr:rowOff>146057</xdr:rowOff>
    </xdr:to>
    <xdr:sp macro="" textlink="">
      <xdr:nvSpPr>
        <xdr:cNvPr id="7186" name="Elipse 7185">
          <a:extLst>
            <a:ext uri="{FF2B5EF4-FFF2-40B4-BE49-F238E27FC236}">
              <a16:creationId xmlns:a16="http://schemas.microsoft.com/office/drawing/2014/main" id="{BBAA9046-3573-4AD0-9803-31A8D793C9FA}"/>
            </a:ext>
          </a:extLst>
        </xdr:cNvPr>
        <xdr:cNvSpPr/>
      </xdr:nvSpPr>
      <xdr:spPr>
        <a:xfrm>
          <a:off x="6725665" y="856456"/>
          <a:ext cx="196526" cy="209256"/>
        </a:xfrm>
        <a:prstGeom prst="ellipse">
          <a:avLst/>
        </a:prstGeom>
        <a:gradFill>
          <a:gsLst>
            <a:gs pos="0">
              <a:srgbClr val="FFFF00"/>
            </a:gs>
            <a:gs pos="50000">
              <a:srgbClr val="FFFF00"/>
            </a:gs>
            <a:gs pos="100000">
              <a:srgbClr val="FFFF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pt-BR" sz="1100"/>
        </a:p>
      </xdr:txBody>
    </xdr:sp>
    <xdr:clientData/>
  </xdr:twoCellAnchor>
  <xdr:twoCellAnchor>
    <xdr:from>
      <xdr:col>1</xdr:col>
      <xdr:colOff>429423</xdr:colOff>
      <xdr:row>7</xdr:row>
      <xdr:rowOff>87048</xdr:rowOff>
    </xdr:from>
    <xdr:to>
      <xdr:col>6</xdr:col>
      <xdr:colOff>394138</xdr:colOff>
      <xdr:row>8</xdr:row>
      <xdr:rowOff>119322</xdr:rowOff>
    </xdr:to>
    <xdr:sp macro="" textlink="">
      <xdr:nvSpPr>
        <xdr:cNvPr id="7187" name="CaixaDeTexto 42">
          <a:extLst>
            <a:ext uri="{FF2B5EF4-FFF2-40B4-BE49-F238E27FC236}">
              <a16:creationId xmlns:a16="http://schemas.microsoft.com/office/drawing/2014/main" id="{33C7DB57-377C-45D7-9E3C-D08C360B29C4}"/>
            </a:ext>
          </a:extLst>
        </xdr:cNvPr>
        <xdr:cNvSpPr txBox="1"/>
      </xdr:nvSpPr>
      <xdr:spPr>
        <a:xfrm>
          <a:off x="1039023" y="1374565"/>
          <a:ext cx="3012715"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Em linha </a:t>
          </a:r>
          <a:r>
            <a:rPr lang="en-US" sz="900" b="0" i="1" baseline="0">
              <a:solidFill>
                <a:schemeClr val="bg1"/>
              </a:solidFill>
            </a:rPr>
            <a:t>com o planejado - 0% de desvio</a:t>
          </a:r>
          <a:endParaRPr lang="en-US" sz="900" b="0" i="1">
            <a:solidFill>
              <a:schemeClr val="bg1"/>
            </a:solidFill>
          </a:endParaRPr>
        </a:p>
      </xdr:txBody>
    </xdr:sp>
    <xdr:clientData/>
  </xdr:twoCellAnchor>
  <xdr:twoCellAnchor>
    <xdr:from>
      <xdr:col>1</xdr:col>
      <xdr:colOff>450444</xdr:colOff>
      <xdr:row>4</xdr:row>
      <xdr:rowOff>113320</xdr:rowOff>
    </xdr:from>
    <xdr:to>
      <xdr:col>6</xdr:col>
      <xdr:colOff>415159</xdr:colOff>
      <xdr:row>5</xdr:row>
      <xdr:rowOff>145594</xdr:rowOff>
    </xdr:to>
    <xdr:sp macro="" textlink="">
      <xdr:nvSpPr>
        <xdr:cNvPr id="7188" name="CaixaDeTexto 42">
          <a:extLst>
            <a:ext uri="{FF2B5EF4-FFF2-40B4-BE49-F238E27FC236}">
              <a16:creationId xmlns:a16="http://schemas.microsoft.com/office/drawing/2014/main" id="{9703355B-BF98-46FD-B320-3805E021F4C6}"/>
            </a:ext>
          </a:extLst>
        </xdr:cNvPr>
        <xdr:cNvSpPr txBox="1"/>
      </xdr:nvSpPr>
      <xdr:spPr>
        <a:xfrm>
          <a:off x="1060044" y="849044"/>
          <a:ext cx="3012715"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a:t>
          </a:r>
          <a:r>
            <a:rPr lang="en-US" sz="900" b="1" i="1">
              <a:solidFill>
                <a:schemeClr val="bg1"/>
              </a:solidFill>
            </a:rPr>
            <a:t>10%</a:t>
          </a:r>
        </a:p>
      </xdr:txBody>
    </xdr:sp>
    <xdr:clientData/>
  </xdr:twoCellAnchor>
  <xdr:twoCellAnchor>
    <xdr:from>
      <xdr:col>1</xdr:col>
      <xdr:colOff>408402</xdr:colOff>
      <xdr:row>8</xdr:row>
      <xdr:rowOff>150106</xdr:rowOff>
    </xdr:from>
    <xdr:to>
      <xdr:col>3</xdr:col>
      <xdr:colOff>578069</xdr:colOff>
      <xdr:row>9</xdr:row>
      <xdr:rowOff>182380</xdr:rowOff>
    </xdr:to>
    <xdr:sp macro="" textlink="">
      <xdr:nvSpPr>
        <xdr:cNvPr id="7190" name="CaixaDeTexto 42">
          <a:extLst>
            <a:ext uri="{FF2B5EF4-FFF2-40B4-BE49-F238E27FC236}">
              <a16:creationId xmlns:a16="http://schemas.microsoft.com/office/drawing/2014/main" id="{D77A17E8-BD10-4412-B418-6789CD0229CC}"/>
            </a:ext>
          </a:extLst>
        </xdr:cNvPr>
        <xdr:cNvSpPr txBox="1"/>
      </xdr:nvSpPr>
      <xdr:spPr>
        <a:xfrm>
          <a:off x="1018002" y="1621554"/>
          <a:ext cx="1388867"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a:t>
          </a:r>
          <a:r>
            <a:rPr lang="en-US" sz="900" b="1" i="1">
              <a:solidFill>
                <a:schemeClr val="bg1"/>
              </a:solidFill>
            </a:rPr>
            <a:t>8%</a:t>
          </a:r>
        </a:p>
      </xdr:txBody>
    </xdr:sp>
    <xdr:clientData/>
  </xdr:twoCellAnchor>
  <xdr:twoCellAnchor>
    <xdr:from>
      <xdr:col>0</xdr:col>
      <xdr:colOff>0</xdr:colOff>
      <xdr:row>11</xdr:row>
      <xdr:rowOff>141396</xdr:rowOff>
    </xdr:from>
    <xdr:to>
      <xdr:col>12</xdr:col>
      <xdr:colOff>453258</xdr:colOff>
      <xdr:row>13</xdr:row>
      <xdr:rowOff>25987</xdr:rowOff>
    </xdr:to>
    <xdr:grpSp>
      <xdr:nvGrpSpPr>
        <xdr:cNvPr id="7205" name="Agrupar 7204">
          <a:extLst>
            <a:ext uri="{FF2B5EF4-FFF2-40B4-BE49-F238E27FC236}">
              <a16:creationId xmlns:a16="http://schemas.microsoft.com/office/drawing/2014/main" id="{02F63220-24EC-C158-DD08-0FA95FCE704A}"/>
            </a:ext>
          </a:extLst>
        </xdr:cNvPr>
        <xdr:cNvGrpSpPr/>
      </xdr:nvGrpSpPr>
      <xdr:grpSpPr>
        <a:xfrm>
          <a:off x="0" y="2236896"/>
          <a:ext cx="8496591" cy="265591"/>
          <a:chOff x="0" y="2521984"/>
          <a:chExt cx="7768458" cy="252453"/>
        </a:xfrm>
      </xdr:grpSpPr>
      <xdr:grpSp>
        <xdr:nvGrpSpPr>
          <xdr:cNvPr id="29" name="Agrupar 35">
            <a:extLst>
              <a:ext uri="{FF2B5EF4-FFF2-40B4-BE49-F238E27FC236}">
                <a16:creationId xmlns:a16="http://schemas.microsoft.com/office/drawing/2014/main" id="{37E7E476-315F-630E-2C2B-5A9A60425DB1}"/>
              </a:ext>
            </a:extLst>
          </xdr:cNvPr>
          <xdr:cNvGrpSpPr/>
        </xdr:nvGrpSpPr>
        <xdr:grpSpPr>
          <a:xfrm>
            <a:off x="0" y="2526922"/>
            <a:ext cx="7711440" cy="232608"/>
            <a:chOff x="6413351" y="2713618"/>
            <a:chExt cx="7711440" cy="228600"/>
          </a:xfrm>
        </xdr:grpSpPr>
        <xdr:sp macro="" textlink="">
          <xdr:nvSpPr>
            <xdr:cNvPr id="31" name="Retângulo: Cantos Arredondados 30">
              <a:extLst>
                <a:ext uri="{FF2B5EF4-FFF2-40B4-BE49-F238E27FC236}">
                  <a16:creationId xmlns:a16="http://schemas.microsoft.com/office/drawing/2014/main" id="{24BB905A-D507-71E9-1689-03D54FB7A055}"/>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32" name="CaixaDeTexto 32">
              <a:extLst>
                <a:ext uri="{FF2B5EF4-FFF2-40B4-BE49-F238E27FC236}">
                  <a16:creationId xmlns:a16="http://schemas.microsoft.com/office/drawing/2014/main" id="{46B5D5D3-B7F7-7C94-62B3-DF41C4EA872E}"/>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Marketing</a:t>
              </a:r>
            </a:p>
          </xdr:txBody>
        </xdr:sp>
      </xdr:grpSp>
      <xdr:sp macro="" textlink="">
        <xdr:nvSpPr>
          <xdr:cNvPr id="68" name="Retângulo: Cantos Arredondados 15">
            <a:extLst>
              <a:ext uri="{FF2B5EF4-FFF2-40B4-BE49-F238E27FC236}">
                <a16:creationId xmlns:a16="http://schemas.microsoft.com/office/drawing/2014/main" id="{80B38D89-E5DF-4300-8EC7-5EE168C100A0}"/>
              </a:ext>
            </a:extLst>
          </xdr:cNvPr>
          <xdr:cNvSpPr/>
        </xdr:nvSpPr>
        <xdr:spPr>
          <a:xfrm>
            <a:off x="1074419" y="2591616"/>
            <a:ext cx="6319609" cy="177860"/>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sp macro="" textlink="">
        <xdr:nvSpPr>
          <xdr:cNvPr id="69" name="CaixaDeTexto 42">
            <a:extLst>
              <a:ext uri="{FF2B5EF4-FFF2-40B4-BE49-F238E27FC236}">
                <a16:creationId xmlns:a16="http://schemas.microsoft.com/office/drawing/2014/main" id="{35EDD868-95F7-4B7C-95FB-D5A32F178B95}"/>
              </a:ext>
            </a:extLst>
          </xdr:cNvPr>
          <xdr:cNvSpPr txBox="1"/>
        </xdr:nvSpPr>
        <xdr:spPr>
          <a:xfrm>
            <a:off x="7306824" y="2521984"/>
            <a:ext cx="461634" cy="2524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t>90%</a:t>
            </a:r>
          </a:p>
        </xdr:txBody>
      </xdr:sp>
      <xdr:sp macro="" textlink="">
        <xdr:nvSpPr>
          <xdr:cNvPr id="71" name="CaixaDeTexto 42">
            <a:extLst>
              <a:ext uri="{FF2B5EF4-FFF2-40B4-BE49-F238E27FC236}">
                <a16:creationId xmlns:a16="http://schemas.microsoft.com/office/drawing/2014/main" id="{97A6C041-5226-4852-A986-72353CC62CB7}"/>
              </a:ext>
            </a:extLst>
          </xdr:cNvPr>
          <xdr:cNvSpPr txBox="1"/>
        </xdr:nvSpPr>
        <xdr:spPr>
          <a:xfrm>
            <a:off x="6657601" y="2528263"/>
            <a:ext cx="479135" cy="238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85%</a:t>
            </a:r>
          </a:p>
        </xdr:txBody>
      </xdr:sp>
      <xdr:sp macro="" textlink="">
        <xdr:nvSpPr>
          <xdr:cNvPr id="80" name="Elipse 79">
            <a:extLst>
              <a:ext uri="{FF2B5EF4-FFF2-40B4-BE49-F238E27FC236}">
                <a16:creationId xmlns:a16="http://schemas.microsoft.com/office/drawing/2014/main" id="{6C6551B5-A836-4FAA-99C5-2DAF799847E4}"/>
              </a:ext>
            </a:extLst>
          </xdr:cNvPr>
          <xdr:cNvSpPr/>
        </xdr:nvSpPr>
        <xdr:spPr>
          <a:xfrm>
            <a:off x="7013602" y="2554013"/>
            <a:ext cx="194987" cy="207240"/>
          </a:xfrm>
          <a:prstGeom prst="ellipse">
            <a:avLst/>
          </a:prstGeom>
          <a:gradFill>
            <a:gsLst>
              <a:gs pos="0">
                <a:srgbClr val="FFFF00"/>
              </a:gs>
              <a:gs pos="50000">
                <a:srgbClr val="FFFF00"/>
              </a:gs>
              <a:gs pos="100000">
                <a:srgbClr val="FFFF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pt-BR" sz="1100"/>
          </a:p>
        </xdr:txBody>
      </xdr:sp>
      <xdr:sp macro="" textlink="">
        <xdr:nvSpPr>
          <xdr:cNvPr id="7192" name="CaixaDeTexto 42">
            <a:extLst>
              <a:ext uri="{FF2B5EF4-FFF2-40B4-BE49-F238E27FC236}">
                <a16:creationId xmlns:a16="http://schemas.microsoft.com/office/drawing/2014/main" id="{10056F3D-3E58-4A99-A120-A2912E347F6A}"/>
              </a:ext>
            </a:extLst>
          </xdr:cNvPr>
          <xdr:cNvSpPr txBox="1"/>
        </xdr:nvSpPr>
        <xdr:spPr>
          <a:xfrm>
            <a:off x="1008993" y="2548757"/>
            <a:ext cx="3012715"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a:t>
            </a:r>
            <a:r>
              <a:rPr lang="en-US" sz="900" b="1" i="1">
                <a:solidFill>
                  <a:schemeClr val="bg1"/>
                </a:solidFill>
              </a:rPr>
              <a:t>5%</a:t>
            </a:r>
          </a:p>
        </xdr:txBody>
      </xdr:sp>
    </xdr:grpSp>
    <xdr:clientData/>
  </xdr:twoCellAnchor>
  <xdr:twoCellAnchor>
    <xdr:from>
      <xdr:col>0</xdr:col>
      <xdr:colOff>0</xdr:colOff>
      <xdr:row>14</xdr:row>
      <xdr:rowOff>165979</xdr:rowOff>
    </xdr:from>
    <xdr:to>
      <xdr:col>12</xdr:col>
      <xdr:colOff>361024</xdr:colOff>
      <xdr:row>16</xdr:row>
      <xdr:rowOff>51117</xdr:rowOff>
    </xdr:to>
    <xdr:grpSp>
      <xdr:nvGrpSpPr>
        <xdr:cNvPr id="7209" name="Agrupar 7208">
          <a:extLst>
            <a:ext uri="{FF2B5EF4-FFF2-40B4-BE49-F238E27FC236}">
              <a16:creationId xmlns:a16="http://schemas.microsoft.com/office/drawing/2014/main" id="{F1868DC8-60AA-F725-46F0-79E2771969D3}"/>
            </a:ext>
          </a:extLst>
        </xdr:cNvPr>
        <xdr:cNvGrpSpPr/>
      </xdr:nvGrpSpPr>
      <xdr:grpSpPr>
        <a:xfrm>
          <a:off x="0" y="2832979"/>
          <a:ext cx="8404357" cy="266138"/>
          <a:chOff x="0" y="3087854"/>
          <a:chExt cx="7676224" cy="253001"/>
        </a:xfrm>
      </xdr:grpSpPr>
      <xdr:grpSp>
        <xdr:nvGrpSpPr>
          <xdr:cNvPr id="7208" name="Agrupar 7207">
            <a:extLst>
              <a:ext uri="{FF2B5EF4-FFF2-40B4-BE49-F238E27FC236}">
                <a16:creationId xmlns:a16="http://schemas.microsoft.com/office/drawing/2014/main" id="{FB016F75-2FC1-2C3F-8EE9-00A609917892}"/>
              </a:ext>
            </a:extLst>
          </xdr:cNvPr>
          <xdr:cNvGrpSpPr/>
        </xdr:nvGrpSpPr>
        <xdr:grpSpPr>
          <a:xfrm>
            <a:off x="0" y="3087854"/>
            <a:ext cx="7676224" cy="253001"/>
            <a:chOff x="0" y="3087854"/>
            <a:chExt cx="7676224" cy="253001"/>
          </a:xfrm>
        </xdr:grpSpPr>
        <xdr:grpSp>
          <xdr:nvGrpSpPr>
            <xdr:cNvPr id="7170" name="Agrupar 7169">
              <a:extLst>
                <a:ext uri="{FF2B5EF4-FFF2-40B4-BE49-F238E27FC236}">
                  <a16:creationId xmlns:a16="http://schemas.microsoft.com/office/drawing/2014/main" id="{A442D74F-C397-82E1-BFCB-C7F784CCFE8F}"/>
                </a:ext>
              </a:extLst>
            </xdr:cNvPr>
            <xdr:cNvGrpSpPr/>
          </xdr:nvGrpSpPr>
          <xdr:grpSpPr>
            <a:xfrm>
              <a:off x="0" y="3087854"/>
              <a:ext cx="7676224" cy="253001"/>
              <a:chOff x="0" y="3260943"/>
              <a:chExt cx="7692967" cy="248875"/>
            </a:xfrm>
          </xdr:grpSpPr>
          <xdr:grpSp>
            <xdr:nvGrpSpPr>
              <xdr:cNvPr id="39" name="Agrupar 35">
                <a:extLst>
                  <a:ext uri="{FF2B5EF4-FFF2-40B4-BE49-F238E27FC236}">
                    <a16:creationId xmlns:a16="http://schemas.microsoft.com/office/drawing/2014/main" id="{FEFF744D-35AB-E588-C1C7-284C59E3B9D2}"/>
                  </a:ext>
                </a:extLst>
              </xdr:cNvPr>
              <xdr:cNvGrpSpPr/>
            </xdr:nvGrpSpPr>
            <xdr:grpSpPr>
              <a:xfrm>
                <a:off x="0" y="3260943"/>
                <a:ext cx="7692967" cy="230447"/>
                <a:chOff x="6413351" y="2713618"/>
                <a:chExt cx="7711440" cy="228600"/>
              </a:xfrm>
            </xdr:grpSpPr>
            <xdr:sp macro="" textlink="">
              <xdr:nvSpPr>
                <xdr:cNvPr id="41" name="Retângulo: Cantos Arredondados 40">
                  <a:extLst>
                    <a:ext uri="{FF2B5EF4-FFF2-40B4-BE49-F238E27FC236}">
                      <a16:creationId xmlns:a16="http://schemas.microsoft.com/office/drawing/2014/main" id="{00FB408B-31B7-00C4-D204-509C7C37577C}"/>
                    </a:ext>
                  </a:extLst>
                </xdr:cNvPr>
                <xdr:cNvSpPr/>
              </xdr:nvSpPr>
              <xdr:spPr>
                <a:xfrm>
                  <a:off x="7476565" y="2770092"/>
                  <a:ext cx="6648226" cy="156885"/>
                </a:xfrm>
                <a:prstGeom prst="round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42" name="CaixaDeTexto 32">
                  <a:extLst>
                    <a:ext uri="{FF2B5EF4-FFF2-40B4-BE49-F238E27FC236}">
                      <a16:creationId xmlns:a16="http://schemas.microsoft.com/office/drawing/2014/main" id="{A9EA0925-37C3-E334-E9ED-E9DBF7B8CB0F}"/>
                    </a:ext>
                  </a:extLst>
                </xdr:cNvPr>
                <xdr:cNvSpPr txBox="1"/>
              </xdr:nvSpPr>
              <xdr:spPr>
                <a:xfrm>
                  <a:off x="6413351" y="2713618"/>
                  <a:ext cx="1125967"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pt-BR" sz="1100">
                      <a:solidFill>
                        <a:schemeClr val="tx1"/>
                      </a:solidFill>
                    </a:rPr>
                    <a:t>Tecnologia</a:t>
                  </a:r>
                </a:p>
              </xdr:txBody>
            </xdr:sp>
          </xdr:grpSp>
          <xdr:sp macro="" textlink="">
            <xdr:nvSpPr>
              <xdr:cNvPr id="76" name="Retângulo: Cantos Arredondados 15">
                <a:extLst>
                  <a:ext uri="{FF2B5EF4-FFF2-40B4-BE49-F238E27FC236}">
                    <a16:creationId xmlns:a16="http://schemas.microsoft.com/office/drawing/2014/main" id="{6C61C00A-478F-4505-9486-D822E7B95B03}"/>
                  </a:ext>
                </a:extLst>
              </xdr:cNvPr>
              <xdr:cNvSpPr/>
            </xdr:nvSpPr>
            <xdr:spPr>
              <a:xfrm>
                <a:off x="1072881" y="3326433"/>
                <a:ext cx="5018283" cy="167513"/>
              </a:xfrm>
              <a:prstGeom prst="roundRect">
                <a:avLst/>
              </a:prstGeom>
              <a:solidFill>
                <a:schemeClr val="tx2">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solidFill>
                    <a:schemeClr val="bg1"/>
                  </a:solidFill>
                </a:endParaRPr>
              </a:p>
            </xdr:txBody>
          </xdr:sp>
          <xdr:sp macro="" textlink="">
            <xdr:nvSpPr>
              <xdr:cNvPr id="77" name="CaixaDeTexto 42">
                <a:extLst>
                  <a:ext uri="{FF2B5EF4-FFF2-40B4-BE49-F238E27FC236}">
                    <a16:creationId xmlns:a16="http://schemas.microsoft.com/office/drawing/2014/main" id="{A670C3F0-0212-49F5-AF8E-340C2E141957}"/>
                  </a:ext>
                </a:extLst>
              </xdr:cNvPr>
              <xdr:cNvSpPr txBox="1"/>
            </xdr:nvSpPr>
            <xdr:spPr>
              <a:xfrm>
                <a:off x="6031367" y="3263625"/>
                <a:ext cx="521239" cy="2461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74%</a:t>
                </a:r>
              </a:p>
            </xdr:txBody>
          </xdr:sp>
          <xdr:sp macro="" textlink="">
            <xdr:nvSpPr>
              <xdr:cNvPr id="79" name="CaixaDeTexto 42">
                <a:extLst>
                  <a:ext uri="{FF2B5EF4-FFF2-40B4-BE49-F238E27FC236}">
                    <a16:creationId xmlns:a16="http://schemas.microsoft.com/office/drawing/2014/main" id="{92ECB3C7-D147-4F38-B12C-6BAB7234E647}"/>
                  </a:ext>
                </a:extLst>
              </xdr:cNvPr>
              <xdr:cNvSpPr txBox="1"/>
            </xdr:nvSpPr>
            <xdr:spPr>
              <a:xfrm>
                <a:off x="3261283" y="3262284"/>
                <a:ext cx="448656" cy="2398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b="1">
                    <a:solidFill>
                      <a:schemeClr val="bg1"/>
                    </a:solidFill>
                  </a:rPr>
                  <a:t>42%</a:t>
                </a:r>
              </a:p>
            </xdr:txBody>
          </xdr:sp>
        </xdr:grpSp>
        <xdr:sp macro="" textlink="">
          <xdr:nvSpPr>
            <xdr:cNvPr id="7194" name="Elipse 7193">
              <a:extLst>
                <a:ext uri="{FF2B5EF4-FFF2-40B4-BE49-F238E27FC236}">
                  <a16:creationId xmlns:a16="http://schemas.microsoft.com/office/drawing/2014/main" id="{F016CE2D-E4CA-475A-9825-A901673367E9}"/>
                </a:ext>
              </a:extLst>
            </xdr:cNvPr>
            <xdr:cNvSpPr/>
          </xdr:nvSpPr>
          <xdr:spPr>
            <a:xfrm>
              <a:off x="3146613" y="3130791"/>
              <a:ext cx="195145" cy="209087"/>
            </a:xfrm>
            <a:prstGeom prst="ellipse">
              <a:avLst/>
            </a:prstGeom>
            <a:gradFill>
              <a:gsLst>
                <a:gs pos="0">
                  <a:srgbClr val="C00000"/>
                </a:gs>
                <a:gs pos="50000">
                  <a:srgbClr val="FF0000"/>
                </a:gs>
                <a:gs pos="100000">
                  <a:srgbClr val="FF0000"/>
                </a:gs>
              </a:gsLst>
            </a:gra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6"/>
            </a:lnRef>
            <a:fillRef idx="3">
              <a:schemeClr val="accent6"/>
            </a:fillRef>
            <a:effectRef idx="2">
              <a:schemeClr val="accent6"/>
            </a:effectRef>
            <a:fontRef idx="minor">
              <a:schemeClr val="lt1"/>
            </a:fontRef>
          </xdr:style>
          <xdr:txBody>
            <a:bodyPr vertOverflow="clip" horzOverflow="clip" rtlCol="0" anchor="t"/>
            <a:lstStyle/>
            <a:p>
              <a:pPr algn="l"/>
              <a:endParaRPr lang="pt-BR" sz="1100"/>
            </a:p>
          </xdr:txBody>
        </xdr:sp>
      </xdr:grpSp>
      <xdr:sp macro="" textlink="">
        <xdr:nvSpPr>
          <xdr:cNvPr id="7195" name="CaixaDeTexto 42">
            <a:extLst>
              <a:ext uri="{FF2B5EF4-FFF2-40B4-BE49-F238E27FC236}">
                <a16:creationId xmlns:a16="http://schemas.microsoft.com/office/drawing/2014/main" id="{4AB4C512-8C53-492C-AB7B-A758D2A0F445}"/>
              </a:ext>
            </a:extLst>
          </xdr:cNvPr>
          <xdr:cNvSpPr txBox="1"/>
        </xdr:nvSpPr>
        <xdr:spPr>
          <a:xfrm>
            <a:off x="1024759" y="3116315"/>
            <a:ext cx="1702676" cy="216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900" b="0" i="1">
                <a:solidFill>
                  <a:schemeClr val="bg1"/>
                </a:solidFill>
              </a:rPr>
              <a:t>desvio negativo de 32</a:t>
            </a:r>
            <a:r>
              <a:rPr lang="en-US" sz="900" b="1" i="1">
                <a:solidFill>
                  <a:schemeClr val="bg1"/>
                </a:solidFill>
              </a:rPr>
              <a:t>%</a:t>
            </a:r>
          </a:p>
        </xdr:txBody>
      </xdr:sp>
    </xdr:grpSp>
    <xdr:clientData/>
  </xdr:twoCellAnchor>
  <xdr:twoCellAnchor editAs="oneCell">
    <xdr:from>
      <xdr:col>10</xdr:col>
      <xdr:colOff>14287</xdr:colOff>
      <xdr:row>1</xdr:row>
      <xdr:rowOff>42862</xdr:rowOff>
    </xdr:from>
    <xdr:to>
      <xdr:col>12</xdr:col>
      <xdr:colOff>338138</xdr:colOff>
      <xdr:row>3</xdr:row>
      <xdr:rowOff>76200</xdr:rowOff>
    </xdr:to>
    <xdr:pic macro="[0]!Amplia">
      <xdr:nvPicPr>
        <xdr:cNvPr id="7196" name="Google Shape;784;p49" title="LogoColorHorizontal.png">
          <a:extLst>
            <a:ext uri="{FF2B5EF4-FFF2-40B4-BE49-F238E27FC236}">
              <a16:creationId xmlns:a16="http://schemas.microsoft.com/office/drawing/2014/main" id="{784C00D7-46E6-4F3A-BEA7-A92625FEC72E}"/>
            </a:ext>
          </a:extLst>
        </xdr:cNvPr>
        <xdr:cNvPicPr preferRelativeResize="0"/>
      </xdr:nvPicPr>
      <xdr:blipFill>
        <a:blip xmlns:r="http://schemas.openxmlformats.org/officeDocument/2006/relationships" r:embed="rId1">
          <a:alphaModFix/>
        </a:blip>
        <a:stretch>
          <a:fillRect/>
        </a:stretch>
      </xdr:blipFill>
      <xdr:spPr>
        <a:xfrm>
          <a:off x="6110287" y="223837"/>
          <a:ext cx="1543051" cy="395288"/>
        </a:xfrm>
        <a:prstGeom prst="rect">
          <a:avLst/>
        </a:prstGeom>
        <a:noFill/>
        <a:ln>
          <a:noFill/>
        </a:ln>
      </xdr:spPr>
    </xdr:pic>
    <xdr:clientData/>
  </xdr:twoCellAnchor>
  <xdr:twoCellAnchor editAs="oneCell">
    <xdr:from>
      <xdr:col>3</xdr:col>
      <xdr:colOff>393700</xdr:colOff>
      <xdr:row>0</xdr:row>
      <xdr:rowOff>71967</xdr:rowOff>
    </xdr:from>
    <xdr:to>
      <xdr:col>4</xdr:col>
      <xdr:colOff>16934</xdr:colOff>
      <xdr:row>1</xdr:row>
      <xdr:rowOff>122768</xdr:rowOff>
    </xdr:to>
    <xdr:pic>
      <xdr:nvPicPr>
        <xdr:cNvPr id="7200" name="Gráfico 7199" descr="Início com preenchimento sólido">
          <a:hlinkClick xmlns:r="http://schemas.openxmlformats.org/officeDocument/2006/relationships" r:id="rId2"/>
          <a:extLst>
            <a:ext uri="{FF2B5EF4-FFF2-40B4-BE49-F238E27FC236}">
              <a16:creationId xmlns:a16="http://schemas.microsoft.com/office/drawing/2014/main" id="{7C6B3133-6FE8-461C-A94B-51F48C8FC09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222500" y="71967"/>
          <a:ext cx="232834" cy="232834"/>
        </a:xfrm>
        <a:prstGeom prst="rect">
          <a:avLst/>
        </a:prstGeom>
      </xdr:spPr>
    </xdr:pic>
    <xdr:clientData/>
  </xdr:twoCellAnchor>
  <xdr:twoCellAnchor>
    <xdr:from>
      <xdr:col>3</xdr:col>
      <xdr:colOff>334432</xdr:colOff>
      <xdr:row>8</xdr:row>
      <xdr:rowOff>156633</xdr:rowOff>
    </xdr:from>
    <xdr:to>
      <xdr:col>6</xdr:col>
      <xdr:colOff>419099</xdr:colOff>
      <xdr:row>11</xdr:row>
      <xdr:rowOff>131232</xdr:rowOff>
    </xdr:to>
    <xdr:sp macro="" textlink="">
      <xdr:nvSpPr>
        <xdr:cNvPr id="2" name="CaixaDeTexto 1">
          <a:extLst>
            <a:ext uri="{FF2B5EF4-FFF2-40B4-BE49-F238E27FC236}">
              <a16:creationId xmlns:a16="http://schemas.microsoft.com/office/drawing/2014/main" id="{6A70F7FA-DCC7-E841-52C6-547BB081B0C1}"/>
            </a:ext>
          </a:extLst>
        </xdr:cNvPr>
        <xdr:cNvSpPr txBox="1"/>
      </xdr:nvSpPr>
      <xdr:spPr>
        <a:xfrm rot="19479889">
          <a:off x="2163232" y="1612900"/>
          <a:ext cx="1913467" cy="5206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pt-BR" sz="2400" b="1"/>
            <a:t>DRAFT</a:t>
          </a:r>
        </a:p>
      </xdr:txBody>
    </xdr:sp>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Área1" xr10:uid="{390CA121-313A-4BBB-8655-F7CECEB70276}" sourceName="Área">
  <extLst>
    <x:ext xmlns:x15="http://schemas.microsoft.com/office/spreadsheetml/2010/11/main" uri="{2F2917AC-EB37-4324-AD4E-5DD8C200BD13}">
      <x15:tableSlicerCache tableId="1" column="10"/>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Projeto_x_Iniciativa1" xr10:uid="{75662691-2112-4EA9-A6DD-9D916AC97729}" sourceName="Classific.">
  <extLst>
    <x:ext xmlns:x15="http://schemas.microsoft.com/office/spreadsheetml/2010/11/main" uri="{2F2917AC-EB37-4324-AD4E-5DD8C200BD13}">
      <x15:tableSlicerCache tableId="1" column="1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Onde_Estamos1" xr10:uid="{D2C87446-9FEC-4373-BEFC-CD6EEA70F95D}" sourceName="Onde Estamos">
  <extLst>
    <x:ext xmlns:x15="http://schemas.microsoft.com/office/spreadsheetml/2010/11/main" uri="{2F2917AC-EB37-4324-AD4E-5DD8C200BD13}">
      <x15:tableSlicerCache tableId="1" column="3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QM1" xr10:uid="{0F5347DC-19E4-406E-A9FF-7B994172D388}" sourceName="QM">
  <extLst>
    <x:ext xmlns:x15="http://schemas.microsoft.com/office/spreadsheetml/2010/11/main" uri="{2F2917AC-EB37-4324-AD4E-5DD8C200BD13}">
      <x15:tableSlicerCache tableId="1" column="51"/>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çãodeDados_Ciclo1" xr10:uid="{F47FF4B3-612B-47AD-B407-BD98E4B3293A}" sourceName="Ciclo">
  <extLst>
    <x:ext xmlns:x15="http://schemas.microsoft.com/office/spreadsheetml/2010/11/main" uri="{2F2917AC-EB37-4324-AD4E-5DD8C200BD13}">
      <x15:tableSlicerCache tableId="1" column="5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Área 1" xr10:uid="{B37DB1A6-ADEE-4695-BD67-A84C2FF1F2F5}" cache="SegmentaçãodeDados_Área1" caption="Área" columnCount="5" rowHeight="234950"/>
  <slicer name="Projeto x Iniciativa 1" xr10:uid="{FF27ABD0-0A61-4F0B-A984-006E820C720F}" cache="SegmentaçãodeDados_Projeto_x_Iniciativa1" caption="Classific." columnCount="2" style="SlicerStyleDark1" rowHeight="234950"/>
  <slicer name="Onde Estamos 1" xr10:uid="{85C09939-7AA1-4653-B035-33E4719810F9}" cache="SegmentaçãodeDados_Onde_Estamos1" caption="Onde Estamos" columnCount="4" rowHeight="234950"/>
  <slicer name="QM 1" xr10:uid="{CEE24CE2-03BA-4659-BBDB-B237ADA57220}" cache="SegmentaçãodeDados_QM1" caption="QM" rowHeight="234950"/>
  <slicer name="Ciclo 1" xr10:uid="{AD3FB816-4CE4-4564-A144-990082F98A51}" cache="SegmentaçãodeDados_Ciclo1" caption="Ciclo" columnCount="2" rowHeight="23495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B01A78-B4E0-415B-90A6-DFC003B87FF1}" name="TB_Cockpit_2026" displayName="TB_Cockpit_2026" ref="B11:AU79" totalsRowCount="1" headerRowDxfId="95" dataDxfId="94" tableBorderDxfId="93">
  <autoFilter ref="B11:AU78" xr:uid="{D4873069-8F04-4676-B777-1F119911AE12}">
    <filterColumn colId="7">
      <filters>
        <filter val="Comercial"/>
      </filters>
    </filterColumn>
  </autoFilter>
  <sortState xmlns:xlrd2="http://schemas.microsoft.com/office/spreadsheetml/2017/richdata2" ref="B12:AT78">
    <sortCondition descending="1" ref="I11:I78"/>
    <sortCondition ref="E11:E78"/>
  </sortState>
  <tableColumns count="46">
    <tableColumn id="30" xr3:uid="{E2BE8BFE-7762-4E9D-9258-AE5F531AB8FA}" name="ID" dataDxfId="92" totalsRowDxfId="91"/>
    <tableColumn id="50" xr3:uid="{9B521BE7-EECC-4D55-AF66-A8E3293109FB}" name="u" dataDxfId="90" totalsRowDxfId="89"/>
    <tableColumn id="58" xr3:uid="{4FEF6302-E9AD-4304-B4E6-816C6B308F83}" name="Ciclo" dataDxfId="88" totalsRowDxfId="87"/>
    <tableColumn id="1" xr3:uid="{032BB1DF-D6AE-415D-8674-466C8B0AC683}" name="INICIATIVAS PORTFÓLIO 2026" totalsRowFunction="count" dataDxfId="86" totalsRowDxfId="85"/>
    <tableColumn id="5" xr3:uid="{D1646752-EC20-401B-8C0D-C04EF62BC547}" name="Portfólio" dataDxfId="84" totalsRowDxfId="83"/>
    <tableColumn id="12" xr3:uid="{8636B34F-1B3D-4C41-9B1B-BD9219852621}" name="Classific." dataDxfId="82" totalsRowDxfId="81"/>
    <tableColumn id="34" xr3:uid="{43DCDB13-CBC4-4C90-A3BE-2AB314344B1E}" name="Onde Estamos" dataDxfId="80" totalsRowDxfId="79"/>
    <tableColumn id="10" xr3:uid="{3BE60FFB-5660-4FE4-BDBC-078585AE1654}" name="Área" dataDxfId="78" totalsRowDxfId="77"/>
    <tableColumn id="2" xr3:uid="{49292416-F25F-4074-AC42-DCA245D257DF}" name="Owner" dataDxfId="76" totalsRowDxfId="75"/>
    <tableColumn id="59" xr3:uid="{B01643A8-12BB-4B3A-9F7A-FA460BA5A143}" name="CAPEX" dataDxfId="74" totalsRowDxfId="73"/>
    <tableColumn id="3" xr3:uid="{753DED08-1658-4D97-802B-A2D68A3A30F1}" name="R$ Capex" dataDxfId="72" totalsRowDxfId="71">
      <calculatedColumnFormula>+IF(K12=0,0,IF(K12=1,Apoio!$H$2,IF(K12=2,Apoio!$H$3,IF(K12=3,Apoio!$H$4,IF(K12=4,Apoio!$H$5,0)))))</calculatedColumnFormula>
    </tableColumn>
    <tableColumn id="54" xr3:uid="{90710A10-21F3-438D-991C-7D204D4C2618}" name="OPEX" dataDxfId="70" totalsRowDxfId="69"/>
    <tableColumn id="11" xr3:uid="{EB5B3A16-C5F9-40EC-AD96-A06BF1ADB472}" name="R$ OPEX" dataDxfId="68" totalsRowDxfId="67">
      <calculatedColumnFormula>+IF(M12=0,0,IF(M12=1,Apoio!$L$2,IF(M12=2,Apoio!$L$3,IF(M12=3,Apoio!$L$4,IF(M12=4,Apoio!$L$5,0)))))</calculatedColumnFormula>
    </tableColumn>
    <tableColumn id="13" xr3:uid="{F238173A-B87E-4755-870C-C150BC7C2E35}" name="SPRINT" dataDxfId="66" totalsRowDxfId="65"/>
    <tableColumn id="53" xr3:uid="{517EA70B-F826-46A4-AC61-5783F4A14FF3}" name="Dt. INÍCIO" dataDxfId="64" totalsRowDxfId="63"/>
    <tableColumn id="16" xr3:uid="{482446EE-2971-4DB7-B6E3-003AA5AF97F5}" name="TÉRMINO" dataDxfId="62" totalsRowDxfId="61">
      <calculatedColumnFormula>+IF(OR(TB_Cockpit_2026[[#This Row],[SPRINT]]="",TB_Cockpit_2026[[#This Row],[SPRINT]]=0),"",TB_Cockpit_2026[[#This Row],[Dt. INÍCIO]]+(TB_Cockpit_2026[[#This Row],[SPRINT]]*15))</calculatedColumnFormula>
    </tableColumn>
    <tableColumn id="35" xr3:uid="{1274C7CA-6D0A-4986-8AA0-486DDB33D4E7}" name="%Prev." dataDxfId="60" totalsRowDxfId="59">
      <calculatedColumnFormula>+IF(TB_Cockpit_2026[[#This Row],[Dt. INÍCIO]]&lt;&gt;"",IF(TB_Cockpit_2026[[#This Row],[Dt. INÍCIO]]&gt;TODAY(),0,(TODAY()-TB_Cockpit_2026[[#This Row],[Dt. INÍCIO]])/(TB_Cockpit_2026[[#This Row],[TÉRMINO]]-TB_Cockpit_2026[[#This Row],[Dt. INÍCIO]])),"")</calculatedColumnFormula>
    </tableColumn>
    <tableColumn id="36" xr3:uid="{5563786B-AEF7-4C14-B83A-34970D1A0C75}" name="%Real" dataDxfId="58" totalsRowDxfId="57"/>
    <tableColumn id="37" xr3:uid="{7D74AC5F-1995-4E3F-9E64-7707B19FFB12}" name="Stat" dataDxfId="56" totalsRowDxfId="55">
      <calculatedColumnFormula>+IF(TB_Cockpit_2026[[#This Row],[%Prev.]]=0,1,IF(TB_Cockpit_2026[[#This Row],[%Real]]&lt;TB_Cockpit_2026[[#This Row],[%Prev.]],0,IF(AND(TB_Cockpit_2026[[#This Row],[%Prev.]]&lt;&gt;"",TB_Cockpit_2026[[#This Row],[%Real]]=""),0,IF(TB_Cockpit_2026[[#This Row],[%Real]]&gt;=TB_Cockpit_2026[[#This Row],[%Prev.]],2,1))))</calculatedColumnFormula>
    </tableColumn>
    <tableColumn id="18" xr3:uid="{E4AEFDA6-88D8-4182-A4AE-93F7B10C8C58}" name="1_x000a__x000a_ m" dataDxfId="54" totalsRowDxfId="53">
      <calculatedColumnFormula>+IF(OR(TB_Cockpit_2026[[#This Row],[Dt. INÍCIO]]="",TB_Cockpit_2026[[#This Row],[SPRINT]]=0),"",IF(VALUE(YEAR(TB_Cockpit_2026[[#This Row],[Dt. INÍCIO]]) &amp; RIGHT("00"&amp;MONTH(TB_Cockpit_2026[[#This Row],[Dt. INÍCIO]]),2))&lt;=202601,
  IF(VALUE(YEAR(TB_Cockpit_2026[[#This Row],[TÉRMINO]]) &amp; RIGHT("00"&amp;MONTH(TB_Cockpit_2026[[#This Row],[TÉRMINO]]),2))&gt;=202601,"x",""),""))</calculatedColumnFormula>
    </tableColumn>
    <tableColumn id="19" xr3:uid="{E534C2B6-43A7-44F3-A655-4B0A29E58B3C}" name="2_x000a__x000a_ m2" dataDxfId="52" totalsRowDxfId="51">
      <calculatedColumnFormula>+IF(OR(TB_Cockpit_2026[[#This Row],[Dt. INÍCIO]]="",TB_Cockpit_2026[[#This Row],[SPRINT]]=0),"",IF(VALUE(YEAR(TB_Cockpit_2026[[#This Row],[Dt. INÍCIO]]) &amp; RIGHT("00"&amp;MONTH(TB_Cockpit_2026[[#This Row],[Dt. INÍCIO]]),2))&lt;=202602,
  IF(VALUE(YEAR(TB_Cockpit_2026[[#This Row],[TÉRMINO]]) &amp; RIGHT("00"&amp;MONTH(TB_Cockpit_2026[[#This Row],[TÉRMINO]]),2))&gt;=202602,"x",""),""))</calculatedColumnFormula>
    </tableColumn>
    <tableColumn id="21" xr3:uid="{7222C165-048F-4E9C-B3F1-1D7B58F9B034}" name="3_x000a__x000a_ m3" dataDxfId="50" totalsRowDxfId="49">
      <calculatedColumnFormula>+IF(OR(TB_Cockpit_2026[[#This Row],[Dt. INÍCIO]]="",TB_Cockpit_2026[[#This Row],[SPRINT]]=0),"",IF(VALUE(YEAR(TB_Cockpit_2026[[#This Row],[Dt. INÍCIO]]) &amp; RIGHT("00"&amp;MONTH(TB_Cockpit_2026[[#This Row],[Dt. INÍCIO]]),2))&lt;=202603,
  IF(VALUE(YEAR(TB_Cockpit_2026[[#This Row],[TÉRMINO]]) &amp; RIGHT("00"&amp;MONTH(TB_Cockpit_2026[[#This Row],[TÉRMINO]]),2))&gt;=202603,"x",""),""))</calculatedColumnFormula>
    </tableColumn>
    <tableColumn id="22" xr3:uid="{BD6E23E8-C142-4A5A-9445-258BB119F3F6}" name="4_x000a__x000a_ m4" dataDxfId="48" totalsRowDxfId="47">
      <calculatedColumnFormula>+IF(OR(TB_Cockpit_2026[[#This Row],[Dt. INÍCIO]]="",TB_Cockpit_2026[[#This Row],[SPRINT]]=0),"",IF(VALUE(YEAR(TB_Cockpit_2026[[#This Row],[Dt. INÍCIO]]) &amp; RIGHT("00"&amp;MONTH(TB_Cockpit_2026[[#This Row],[Dt. INÍCIO]]),2))&lt;=202604,
  IF(VALUE(YEAR(TB_Cockpit_2026[[#This Row],[TÉRMINO]]) &amp; RIGHT("00"&amp;MONTH(TB_Cockpit_2026[[#This Row],[TÉRMINO]]),2))&gt;=202604,"x",""),""))</calculatedColumnFormula>
    </tableColumn>
    <tableColumn id="24" xr3:uid="{45017F81-6314-4642-9156-FF02B322E141}" name="5_x000a__x000a_ m5" dataDxfId="46" totalsRowDxfId="45">
      <calculatedColumnFormula>+IF(OR(TB_Cockpit_2026[[#This Row],[Dt. INÍCIO]]="",TB_Cockpit_2026[[#This Row],[SPRINT]]=0),"",IF(VALUE(YEAR(TB_Cockpit_2026[[#This Row],[Dt. INÍCIO]]) &amp; RIGHT("00"&amp;MONTH(TB_Cockpit_2026[[#This Row],[Dt. INÍCIO]]),2))&lt;=202605,
  IF(VALUE(YEAR(TB_Cockpit_2026[[#This Row],[TÉRMINO]]) &amp; RIGHT("00"&amp;MONTH(TB_Cockpit_2026[[#This Row],[TÉRMINO]]),2))&gt;=202605,"x",""),""))</calculatedColumnFormula>
    </tableColumn>
    <tableColumn id="25" xr3:uid="{70593DB8-2C33-4210-B996-3C1438F89269}" name="6_x000a__x000a_ m6" dataDxfId="44" totalsRowDxfId="43">
      <calculatedColumnFormula>+IF(OR(TB_Cockpit_2026[[#This Row],[Dt. INÍCIO]]="",TB_Cockpit_2026[[#This Row],[SPRINT]]=0),"",IF(VALUE(YEAR(TB_Cockpit_2026[[#This Row],[Dt. INÍCIO]]) &amp; RIGHT("00"&amp;MONTH(TB_Cockpit_2026[[#This Row],[Dt. INÍCIO]]),2))&lt;=202606,
  IF(VALUE(YEAR(TB_Cockpit_2026[[#This Row],[TÉRMINO]]) &amp; RIGHT("00"&amp;MONTH(TB_Cockpit_2026[[#This Row],[TÉRMINO]]),2))&gt;=202606,"x",""),""))</calculatedColumnFormula>
    </tableColumn>
    <tableColumn id="26" xr3:uid="{94C1879D-D6C9-4618-8801-4ED16BB450BD}" name="7_x000a__x000a_ m7" dataDxfId="42" totalsRowDxfId="41">
      <calculatedColumnFormula>+IF(OR(TB_Cockpit_2026[[#This Row],[Dt. INÍCIO]]="",TB_Cockpit_2026[[#This Row],[SPRINT]]=0),"",IF(VALUE(YEAR(TB_Cockpit_2026[[#This Row],[Dt. INÍCIO]]) &amp; RIGHT("00"&amp;MONTH(TB_Cockpit_2026[[#This Row],[Dt. INÍCIO]]),2))&lt;=202607,
  IF(VALUE(YEAR(TB_Cockpit_2026[[#This Row],[TÉRMINO]]) &amp; RIGHT("00"&amp;MONTH(TB_Cockpit_2026[[#This Row],[TÉRMINO]]),2))&gt;=202607,"x",""),""))</calculatedColumnFormula>
    </tableColumn>
    <tableColumn id="27" xr3:uid="{56C34FD4-3743-4B51-A066-CB76347CDB72}" name="8_x000a__x000a_ m" dataDxfId="40" totalsRowDxfId="39">
      <calculatedColumnFormula>+IF(OR(TB_Cockpit_2026[[#This Row],[Dt. INÍCIO]]="",TB_Cockpit_2026[[#This Row],[SPRINT]]=0),"",IF(VALUE(YEAR(TB_Cockpit_2026[[#This Row],[Dt. INÍCIO]]) &amp; RIGHT("00"&amp;MONTH(TB_Cockpit_2026[[#This Row],[Dt. INÍCIO]]),2))&lt;=202608,
  IF(VALUE(YEAR(TB_Cockpit_2026[[#This Row],[TÉRMINO]]) &amp; RIGHT("00"&amp;MONTH(TB_Cockpit_2026[[#This Row],[TÉRMINO]]),2))&gt;=202608,"x",""),""))</calculatedColumnFormula>
    </tableColumn>
    <tableColumn id="28" xr3:uid="{A08BCE77-B23D-4D19-83BE-705660E60780}" name="9_x000a__x000a_ m" dataDxfId="38" totalsRowDxfId="37">
      <calculatedColumnFormula>+IF(OR(TB_Cockpit_2026[[#This Row],[Dt. INÍCIO]]="",TB_Cockpit_2026[[#This Row],[SPRINT]]=0),"",IF(VALUE(YEAR(TB_Cockpit_2026[[#This Row],[Dt. INÍCIO]]) &amp; RIGHT("00"&amp;MONTH(TB_Cockpit_2026[[#This Row],[Dt. INÍCIO]]),2))&lt;=202609,
  IF(VALUE(YEAR(TB_Cockpit_2026[[#This Row],[TÉRMINO]]) &amp; RIGHT("00"&amp;MONTH(TB_Cockpit_2026[[#This Row],[TÉRMINO]]),2))&gt;=202609,"x",""),""))</calculatedColumnFormula>
    </tableColumn>
    <tableColumn id="29" xr3:uid="{3A5307A1-349B-4402-9684-8CC40249BF6F}" name="10_x000a__x000a_ m" dataDxfId="36" totalsRowDxfId="35">
      <calculatedColumnFormula>+IF(OR(TB_Cockpit_2026[[#This Row],[Dt. INÍCIO]]="",TB_Cockpit_2026[[#This Row],[SPRINT]]=0),"",IF(VALUE(YEAR(TB_Cockpit_2026[[#This Row],[Dt. INÍCIO]]) &amp; RIGHT("00"&amp;MONTH(TB_Cockpit_2026[[#This Row],[Dt. INÍCIO]]),2))&lt;=202610,
  IF(VALUE(YEAR(TB_Cockpit_2026[[#This Row],[TÉRMINO]]) &amp; RIGHT("00"&amp;MONTH(TB_Cockpit_2026[[#This Row],[TÉRMINO]]),2))&gt;=202610,"x",""),""))</calculatedColumnFormula>
    </tableColumn>
    <tableColumn id="31" xr3:uid="{AB03CEFC-7331-416E-AE76-3F392DFC640E}" name="11_x000a__x000a_ m" dataDxfId="34" totalsRowDxfId="33">
      <calculatedColumnFormula>+IF(OR(TB_Cockpit_2026[[#This Row],[Dt. INÍCIO]]="",TB_Cockpit_2026[[#This Row],[SPRINT]]=0),"",IF(VALUE(YEAR(TB_Cockpit_2026[[#This Row],[Dt. INÍCIO]]) &amp; RIGHT("00"&amp;MONTH(TB_Cockpit_2026[[#This Row],[Dt. INÍCIO]]),2))&lt;=202611,
  IF(VALUE(YEAR(TB_Cockpit_2026[[#This Row],[TÉRMINO]]) &amp; RIGHT("00"&amp;MONTH(TB_Cockpit_2026[[#This Row],[TÉRMINO]]),2))&gt;=202611,"x",""),""))</calculatedColumnFormula>
    </tableColumn>
    <tableColumn id="32" xr3:uid="{E7FF9B27-3FB8-4C69-9B6B-1D54C08E76ED}" name="12_x000a__x000a_ m" dataDxfId="32" totalsRowDxfId="31">
      <calculatedColumnFormula>+IF(OR(TB_Cockpit_2026[[#This Row],[Dt. INÍCIO]]="",TB_Cockpit_2026[[#This Row],[SPRINT]]=0),"",IF(VALUE(YEAR(TB_Cockpit_2026[[#This Row],[Dt. INÍCIO]]) &amp; RIGHT("00"&amp;MONTH(TB_Cockpit_2026[[#This Row],[Dt. INÍCIO]]),2))&lt;=202612,
  IF(VALUE(YEAR(TB_Cockpit_2026[[#This Row],[TÉRMINO]]) &amp; RIGHT("00"&amp;MONTH(TB_Cockpit_2026[[#This Row],[TÉRMINO]]),2))&gt;=202612,"x",""),""))</calculatedColumnFormula>
    </tableColumn>
    <tableColumn id="23" xr3:uid="{B21D1E19-B0E6-474B-BBE6-BEAE2A9ED568}" name="Risco" dataDxfId="30" totalsRowDxfId="29"/>
    <tableColumn id="4" xr3:uid="{4A8D4C19-198D-4838-B9CA-02D96CDA6E1F}" name="Encantar os Clientes" dataDxfId="28" totalsRowDxfId="27"/>
    <tableColumn id="48" xr3:uid="{8CCBCC37-A20B-4D65-AD22-2E879A6ADC96}" name="Alta Rentabilidade" dataDxfId="26" totalsRowDxfId="25"/>
    <tableColumn id="6" xr3:uid="{E638A553-E9A7-411A-901A-8941710C5F77}" name="Capital com Foco" dataDxfId="24" totalsRowDxfId="23"/>
    <tableColumn id="14" xr3:uid="{A66B3850-655C-43F5-996C-4EAF98325804}" name="SCORE" dataDxfId="22" totalsRowDxfId="21">
      <calculatedColumnFormula>+(TB_Cockpit_2026[[#This Row],[Encantar os Clientes]]*$AH$10)+(TB_Cockpit_2026[[#This Row],[Capital com Foco]]*$AJ$10)+(TB_Cockpit_2026[[#This Row],[Alta Rentabilidade]]*$AI$10)+IF(TB_Cockpit_2026[[#This Row],[u]]="u",4,0)</calculatedColumnFormula>
    </tableColumn>
    <tableColumn id="17" xr3:uid="{4C8F4C30-62DA-40DF-8666-EF50A31004AD}" name="K1" dataDxfId="20" totalsRowDxfId="19"/>
    <tableColumn id="20" xr3:uid="{F12697F7-950D-47DA-952D-8B35BED5E126}" name="K2" dataDxfId="18" totalsRowDxfId="17"/>
    <tableColumn id="33" xr3:uid="{4C35790A-41DC-402D-9C65-F9DD27F3EEE9}" name="K3" dataDxfId="16" totalsRowDxfId="15"/>
    <tableColumn id="8" xr3:uid="{A478342E-8F64-4F66-95EB-AE49B9CC71A9}" name="K4" dataDxfId="14" totalsRowDxfId="13"/>
    <tableColumn id="38" xr3:uid="{E452936C-F749-4C2E-A78B-1BCAD42A0930}" name="K5" dataDxfId="12" totalsRowDxfId="11"/>
    <tableColumn id="47" xr3:uid="{EC44A8B9-8B00-457C-8E8E-373A4C03BB4D}" name="Relev." dataDxfId="10">
      <calculatedColumnFormula>SUM(TB_Cockpit_2026[[#This Row],[K1]:[K5]])</calculatedColumnFormula>
    </tableColumn>
    <tableColumn id="9" xr3:uid="{8787E8CE-2A15-478F-A468-DA803680524B}" name="Score Geral" dataDxfId="9">
      <calculatedColumnFormula>+TB_Cockpit_2026[[#This Row],[Relev.]]+TB_Cockpit_2026[[#This Row],[SCORE]]</calculatedColumnFormula>
    </tableColumn>
    <tableColumn id="51" xr3:uid="{1EBE4C81-3235-493B-8E71-1EA2DFC04A11}" name="QM" dataDxfId="8">
      <calculatedColumnFormula>+IF(AND(TB_Cockpit_2026[[#This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calculatedColumnFormula>
    </tableColumn>
    <tableColumn id="7" xr3:uid="{F8F8D7A4-871A-42B0-9464-9305311895A3}" name="Detalhe do Risco" dataDxfId="7" totalsRowDxfId="6"/>
    <tableColumn id="15" xr3:uid="{AFA18EFE-B81F-4A44-8EFC-7CC2D668C542}" name="KPI" dataDxfId="5"/>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microsoft.com/office/2007/relationships/slicer" Target="../slicers/slicer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CCB9C0-E5AD-45DB-B5A7-EAFB169D1F26}">
  <sheetPr codeName="Planilha2"/>
  <dimension ref="A1"/>
  <sheetViews>
    <sheetView showGridLines="0" showRowColHeaders="0" zoomScale="125" zoomScaleNormal="125" workbookViewId="0">
      <selection activeCell="S76" sqref="S76"/>
    </sheetView>
  </sheetViews>
  <sheetFormatPr baseColWidth="10" defaultColWidth="8.83203125" defaultRowHeight="15" x14ac:dyDescent="0.2"/>
  <sheetData/>
  <sheetProtection sheet="1" objects="1" scenarios="1" selectLockedCells="1" selectUnlockedCells="1"/>
  <pageMargins left="0.511811024" right="0.511811024" top="0.78740157499999996" bottom="0.78740157499999996" header="0.31496062000000002" footer="0.31496062000000002"/>
  <pageSetup paperSize="9" orientation="portrait" horizontalDpi="300" verticalDpi="300" r:id="rId1"/>
  <headerFooter>
    <oddFooter>&amp;L_x000D_&amp;1#&amp;"Calibri"&amp;10&amp;K000000 Classificação: Público</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84F58-3D28-4D8B-8E99-16E3FE0E8CCB}">
  <sheetPr codeName="Planilha96">
    <tabColor rgb="FF0070C0"/>
  </sheetPr>
  <dimension ref="A1:AU80"/>
  <sheetViews>
    <sheetView showGridLines="0" tabSelected="1" zoomScale="85" zoomScaleNormal="85" workbookViewId="0">
      <pane xSplit="5" ySplit="11" topLeftCell="J12" activePane="bottomRight" state="frozen"/>
      <selection pane="topRight" activeCell="F1" sqref="F1"/>
      <selection pane="bottomLeft" activeCell="A12" sqref="A12"/>
      <selection pane="bottomRight" activeCell="P35" sqref="P35"/>
    </sheetView>
  </sheetViews>
  <sheetFormatPr baseColWidth="10" defaultColWidth="31.33203125" defaultRowHeight="15" x14ac:dyDescent="0.2"/>
  <cols>
    <col min="1" max="1" width="39" customWidth="1"/>
    <col min="2" max="2" width="8.83203125" bestFit="1" customWidth="1"/>
    <col min="3" max="3" width="4.6640625" customWidth="1"/>
    <col min="4" max="4" width="6.5" bestFit="1" customWidth="1"/>
    <col min="5" max="5" width="94.5" style="5" customWidth="1"/>
    <col min="6" max="6" width="12.1640625" customWidth="1"/>
    <col min="7" max="7" width="11.33203125" customWidth="1"/>
    <col min="8" max="8" width="10.83203125" customWidth="1"/>
    <col min="9" max="9" width="17.83203125" bestFit="1" customWidth="1"/>
    <col min="10" max="10" width="10.5" bestFit="1" customWidth="1"/>
    <col min="11" max="11" width="6.1640625" customWidth="1"/>
    <col min="12" max="12" width="11.5" bestFit="1" customWidth="1"/>
    <col min="13" max="13" width="5.5" customWidth="1"/>
    <col min="14" max="14" width="14.6640625" bestFit="1" customWidth="1"/>
    <col min="15" max="15" width="7" customWidth="1"/>
    <col min="16" max="16" width="10.33203125" customWidth="1"/>
    <col min="17" max="17" width="10.83203125" customWidth="1"/>
    <col min="18" max="18" width="7.5" customWidth="1"/>
    <col min="19" max="19" width="8.33203125" customWidth="1"/>
    <col min="20" max="31" width="3" customWidth="1"/>
    <col min="32" max="32" width="3.33203125" customWidth="1"/>
    <col min="33" max="35" width="6.5" customWidth="1"/>
    <col min="36" max="36" width="3.6640625" customWidth="1"/>
    <col min="37" max="37" width="4.5" customWidth="1"/>
    <col min="38" max="41" width="3.33203125" customWidth="1"/>
    <col min="42" max="42" width="3.5" customWidth="1"/>
    <col min="43" max="43" width="5.1640625" customWidth="1"/>
    <col min="44" max="44" width="3.83203125" customWidth="1"/>
    <col min="45" max="45" width="6.1640625" customWidth="1"/>
    <col min="47" max="47" width="69.33203125" customWidth="1"/>
  </cols>
  <sheetData>
    <row r="1" spans="1:47" x14ac:dyDescent="0.2">
      <c r="H1" s="2">
        <f>COUNTIF(TB_Cockpit_2026[Portfólio],I1)</f>
        <v>46</v>
      </c>
      <c r="I1" s="2" t="s">
        <v>0</v>
      </c>
      <c r="Y1" s="1">
        <f>+SUBTOTAL(3,TB_Cockpit_2026[[#Headers],[#Data],[INICIATIVAS PORTFÓLIO 2026]])</f>
        <v>12</v>
      </c>
      <c r="AA1" s="1"/>
      <c r="AB1" s="1"/>
      <c r="AC1" s="1"/>
      <c r="AD1" s="1"/>
      <c r="AE1" s="3">
        <f>COUNTIF(TB_Cockpit_2026[Owner],#REF!)</f>
        <v>0</v>
      </c>
      <c r="AF1" s="3"/>
      <c r="AG1" s="2"/>
      <c r="AH1" s="2"/>
      <c r="AI1" s="2"/>
      <c r="AJ1" s="2"/>
      <c r="AL1" s="207" t="s">
        <v>1</v>
      </c>
      <c r="AM1" s="208"/>
      <c r="AN1" s="208"/>
      <c r="AO1" s="208"/>
      <c r="AP1" s="208"/>
      <c r="AQ1" s="208"/>
      <c r="AR1" s="208"/>
      <c r="AS1" s="209"/>
    </row>
    <row r="2" spans="1:47" x14ac:dyDescent="0.2">
      <c r="H2" s="2">
        <f>COUNTIF(TB_Cockpit_2026[Portfólio],I2)</f>
        <v>21</v>
      </c>
      <c r="I2" s="2" t="s">
        <v>2</v>
      </c>
      <c r="X2" s="2">
        <f>TB_Cockpit_2026[[#Totals],[INICIATIVAS PORTFÓLIO 2026]]</f>
        <v>11</v>
      </c>
      <c r="AD2" s="11">
        <f>COUNTIF(TB_Cockpit_2026[Owner],#REF!)</f>
        <v>0</v>
      </c>
      <c r="AL2" s="210"/>
      <c r="AM2" s="211"/>
      <c r="AN2" s="211"/>
      <c r="AO2" s="211"/>
      <c r="AP2" s="211"/>
      <c r="AQ2" s="211"/>
      <c r="AR2" s="211"/>
      <c r="AS2" s="212"/>
    </row>
    <row r="3" spans="1:47" x14ac:dyDescent="0.2">
      <c r="H3" s="2"/>
      <c r="I3" s="2"/>
      <c r="X3" s="12">
        <f>COUNTA(TB_Cockpit_2026[[#Headers],[#Data],[ID]])-1</f>
        <v>64</v>
      </c>
      <c r="AL3" s="213" t="s">
        <v>3</v>
      </c>
      <c r="AM3" s="214"/>
      <c r="AN3" s="215" t="s">
        <v>4</v>
      </c>
      <c r="AO3" s="215"/>
      <c r="AP3" s="215"/>
      <c r="AQ3" s="215"/>
      <c r="AR3" s="215"/>
      <c r="AS3" s="215"/>
      <c r="AT3" s="216"/>
    </row>
    <row r="4" spans="1:47" x14ac:dyDescent="0.2">
      <c r="O4" s="42"/>
      <c r="P4" s="42"/>
      <c r="AL4" s="195" t="s">
        <v>5</v>
      </c>
      <c r="AM4" s="196"/>
      <c r="AN4" s="203" t="s">
        <v>6</v>
      </c>
      <c r="AO4" s="203"/>
      <c r="AP4" s="203"/>
      <c r="AQ4" s="203"/>
      <c r="AR4" s="203"/>
      <c r="AS4" s="203"/>
      <c r="AT4" s="204"/>
    </row>
    <row r="5" spans="1:47" x14ac:dyDescent="0.2">
      <c r="O5" s="2">
        <f>COUNTA(TB_Cockpit_2026[[#Headers],[#Data],[ID]])</f>
        <v>65</v>
      </c>
      <c r="AI5" s="2"/>
      <c r="AJ5" s="2"/>
      <c r="AL5" s="195" t="s">
        <v>7</v>
      </c>
      <c r="AM5" s="196"/>
      <c r="AN5" s="203" t="s">
        <v>8</v>
      </c>
      <c r="AO5" s="203"/>
      <c r="AP5" s="203"/>
      <c r="AQ5" s="203"/>
      <c r="AR5" s="203"/>
      <c r="AS5" s="203"/>
      <c r="AT5" s="204"/>
    </row>
    <row r="6" spans="1:47" x14ac:dyDescent="0.2">
      <c r="O6" s="5"/>
      <c r="AL6" s="195" t="s">
        <v>9</v>
      </c>
      <c r="AM6" s="196"/>
      <c r="AN6" s="203" t="s">
        <v>10</v>
      </c>
      <c r="AO6" s="203"/>
      <c r="AP6" s="203"/>
      <c r="AQ6" s="203"/>
      <c r="AR6" s="203"/>
      <c r="AS6" s="203"/>
      <c r="AT6" s="204"/>
    </row>
    <row r="7" spans="1:47" x14ac:dyDescent="0.2">
      <c r="M7" s="28"/>
      <c r="N7" s="28"/>
      <c r="AL7" s="197" t="s">
        <v>11</v>
      </c>
      <c r="AM7" s="198"/>
      <c r="AN7" s="205" t="s">
        <v>12</v>
      </c>
      <c r="AO7" s="205"/>
      <c r="AP7" s="205"/>
      <c r="AQ7" s="205"/>
      <c r="AR7" s="205"/>
      <c r="AS7" s="205"/>
      <c r="AT7" s="206"/>
    </row>
    <row r="8" spans="1:47" x14ac:dyDescent="0.2">
      <c r="M8" s="28"/>
      <c r="N8" s="28"/>
      <c r="AH8" s="199" t="s">
        <v>13</v>
      </c>
      <c r="AI8" s="200"/>
      <c r="AJ8" s="200"/>
    </row>
    <row r="9" spans="1:47" ht="16" thickBot="1" x14ac:dyDescent="0.25">
      <c r="AH9" s="201" t="s">
        <v>14</v>
      </c>
      <c r="AI9" s="202"/>
      <c r="AJ9" s="202"/>
    </row>
    <row r="10" spans="1:47" ht="16" thickBot="1" x14ac:dyDescent="0.25">
      <c r="K10" s="194">
        <f>+SUBTOTAL(9,TB_Cockpit_2026[R$ Capex])</f>
        <v>150000</v>
      </c>
      <c r="L10" s="194"/>
      <c r="M10" s="194">
        <f>+SUBTOTAL(9,TB_Cockpit_2026[R$ OPEX])</f>
        <v>476833.33</v>
      </c>
      <c r="N10" s="194"/>
      <c r="U10" s="188">
        <v>2026</v>
      </c>
      <c r="V10" s="189"/>
      <c r="W10" s="189"/>
      <c r="X10" s="189"/>
      <c r="Y10" s="189"/>
      <c r="Z10" s="189"/>
      <c r="AA10" s="189"/>
      <c r="AB10" s="189"/>
      <c r="AC10" s="189"/>
      <c r="AD10" s="189"/>
      <c r="AE10" s="189"/>
      <c r="AF10" s="190"/>
      <c r="AH10" s="13">
        <v>2</v>
      </c>
      <c r="AI10" s="32">
        <v>1</v>
      </c>
      <c r="AJ10" s="13">
        <v>1</v>
      </c>
      <c r="AL10" s="191" t="s">
        <v>15</v>
      </c>
      <c r="AM10" s="192"/>
      <c r="AN10" s="192"/>
      <c r="AO10" s="192"/>
      <c r="AP10" s="193"/>
      <c r="AQ10" s="14" t="s">
        <v>16</v>
      </c>
    </row>
    <row r="11" spans="1:47" ht="80" x14ac:dyDescent="0.2">
      <c r="B11" s="157" t="s">
        <v>17</v>
      </c>
      <c r="C11" s="158" t="s">
        <v>18</v>
      </c>
      <c r="D11" s="159" t="s">
        <v>19</v>
      </c>
      <c r="E11" s="159" t="s">
        <v>20</v>
      </c>
      <c r="F11" s="159" t="s">
        <v>21</v>
      </c>
      <c r="G11" s="160" t="s">
        <v>22</v>
      </c>
      <c r="H11" s="161" t="s">
        <v>23</v>
      </c>
      <c r="I11" s="162" t="s">
        <v>24</v>
      </c>
      <c r="J11" s="162" t="s">
        <v>25</v>
      </c>
      <c r="K11" s="162" t="s">
        <v>26</v>
      </c>
      <c r="L11" s="162" t="s">
        <v>27</v>
      </c>
      <c r="M11" s="162" t="s">
        <v>28</v>
      </c>
      <c r="N11" s="162" t="s">
        <v>29</v>
      </c>
      <c r="O11" s="163" t="s">
        <v>30</v>
      </c>
      <c r="P11" s="164" t="s">
        <v>31</v>
      </c>
      <c r="Q11" s="135" t="s">
        <v>32</v>
      </c>
      <c r="R11" s="135" t="s">
        <v>33</v>
      </c>
      <c r="S11" s="135" t="s">
        <v>34</v>
      </c>
      <c r="T11" s="135" t="s">
        <v>35</v>
      </c>
      <c r="U11" s="137" t="s">
        <v>36</v>
      </c>
      <c r="V11" s="137" t="s">
        <v>37</v>
      </c>
      <c r="W11" s="137" t="s">
        <v>38</v>
      </c>
      <c r="X11" s="137" t="s">
        <v>39</v>
      </c>
      <c r="Y11" s="137" t="s">
        <v>40</v>
      </c>
      <c r="Z11" s="137" t="s">
        <v>41</v>
      </c>
      <c r="AA11" s="137" t="s">
        <v>42</v>
      </c>
      <c r="AB11" s="137" t="s">
        <v>43</v>
      </c>
      <c r="AC11" s="137" t="s">
        <v>44</v>
      </c>
      <c r="AD11" s="137" t="s">
        <v>45</v>
      </c>
      <c r="AE11" s="137" t="s">
        <v>46</v>
      </c>
      <c r="AF11" s="138" t="s">
        <v>47</v>
      </c>
      <c r="AG11" s="136" t="s">
        <v>48</v>
      </c>
      <c r="AH11" s="33" t="s">
        <v>49</v>
      </c>
      <c r="AI11" s="8" t="s">
        <v>50</v>
      </c>
      <c r="AJ11" s="8" t="s">
        <v>51</v>
      </c>
      <c r="AK11" s="34" t="s">
        <v>52</v>
      </c>
      <c r="AL11" s="15" t="s">
        <v>53</v>
      </c>
      <c r="AM11" s="10" t="s">
        <v>54</v>
      </c>
      <c r="AN11" s="10" t="s">
        <v>55</v>
      </c>
      <c r="AO11" s="10" t="s">
        <v>56</v>
      </c>
      <c r="AP11" s="10" t="s">
        <v>57</v>
      </c>
      <c r="AQ11" s="9" t="s">
        <v>58</v>
      </c>
      <c r="AR11" s="10" t="s">
        <v>59</v>
      </c>
      <c r="AS11" s="10" t="s">
        <v>60</v>
      </c>
      <c r="AT11" s="38" t="s">
        <v>61</v>
      </c>
      <c r="AU11" s="185" t="s">
        <v>15</v>
      </c>
    </row>
    <row r="12" spans="1:47" s="22" customFormat="1" ht="18" hidden="1" x14ac:dyDescent="0.2">
      <c r="B12" s="139" t="s">
        <v>62</v>
      </c>
      <c r="C12" s="140"/>
      <c r="D12" s="141">
        <v>1</v>
      </c>
      <c r="E12" s="142" t="s">
        <v>63</v>
      </c>
      <c r="F12" s="142" t="s">
        <v>0</v>
      </c>
      <c r="G12" s="143" t="s">
        <v>64</v>
      </c>
      <c r="H12" s="142" t="s">
        <v>65</v>
      </c>
      <c r="I12" s="144" t="s">
        <v>66</v>
      </c>
      <c r="J12" s="144" t="s">
        <v>67</v>
      </c>
      <c r="K12" s="35">
        <v>0</v>
      </c>
      <c r="L12" s="145">
        <f>+IF(K12=0,0,IF(K12=1,Apoio!$H$2,IF(K12=2,Apoio!$H$3,IF(K12=3,Apoio!$H$4,IF(K12=4,Apoio!$H$5,0)))))</f>
        <v>0</v>
      </c>
      <c r="M12" s="35">
        <v>1</v>
      </c>
      <c r="N12" s="145">
        <v>3000</v>
      </c>
      <c r="O12" s="146">
        <v>6</v>
      </c>
      <c r="P12" s="147">
        <v>45996</v>
      </c>
      <c r="Q12" s="148">
        <f>+IF(OR(TB_Cockpit_2026[[#This Row],[SPRINT]]="",TB_Cockpit_2026[[#This Row],[SPRINT]]=0),"",TB_Cockpit_2026[[#This Row],[Dt. INÍCIO]]+(TB_Cockpit_2026[[#This Row],[SPRINT]]*15))</f>
        <v>46086</v>
      </c>
      <c r="R12" s="149">
        <f ca="1">+IF(TB_Cockpit_2026[[#This Row],[Dt. INÍCIO]]&lt;&gt;"",IF(TB_Cockpit_2026[[#This Row],[Dt. INÍCIO]]&gt;TODAY(),0,(TODAY()-TB_Cockpit_2026[[#This Row],[Dt. INÍCIO]])/(TB_Cockpit_2026[[#This Row],[TÉRMINO]]-TB_Cockpit_2026[[#This Row],[Dt. INÍCIO]])),"")</f>
        <v>2.2222222222222223E-2</v>
      </c>
      <c r="S12" s="150">
        <v>0.5</v>
      </c>
      <c r="T12" s="40">
        <f ca="1">+IF(TB_Cockpit_2026[[#This Row],[%Prev.]]=0,1,IF(TB_Cockpit_2026[[#This Row],[%Real]]&lt;TB_Cockpit_2026[[#This Row],[%Prev.]],0,IF(AND(TB_Cockpit_2026[[#This Row],[%Prev.]]&lt;&gt;"",TB_Cockpit_2026[[#This Row],[%Real]]=""),0,IF(TB_Cockpit_2026[[#This Row],[%Real]]&gt;=TB_Cockpit_2026[[#This Row],[%Prev.]],2,1))))</f>
        <v>2</v>
      </c>
      <c r="U1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1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1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1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1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2" s="43">
        <v>2</v>
      </c>
      <c r="AH12" s="17">
        <v>1</v>
      </c>
      <c r="AI12" s="17">
        <v>3</v>
      </c>
      <c r="AJ12" s="17">
        <v>3</v>
      </c>
      <c r="AK12" s="18">
        <f>+(TB_Cockpit_2026[[#This Row],[Encantar os Clientes]]*$AH$10)+(TB_Cockpit_2026[[#This Row],[Capital com Foco]]*$AJ$10)+(TB_Cockpit_2026[[#This Row],[Alta Rentabilidade]]*$AI$10)+IF(TB_Cockpit_2026[[#This Row],[u]]="u",4,0)</f>
        <v>8</v>
      </c>
      <c r="AL12" s="19">
        <v>1</v>
      </c>
      <c r="AM12" s="20">
        <v>3</v>
      </c>
      <c r="AN12" s="20">
        <v>1</v>
      </c>
      <c r="AO12" s="20">
        <v>4</v>
      </c>
      <c r="AP12" s="20">
        <v>1</v>
      </c>
      <c r="AQ12" s="21">
        <f>SUM(TB_Cockpit_2026[[#This Row],[K1]:[K5]])</f>
        <v>10</v>
      </c>
      <c r="AR12" s="27">
        <f>+TB_Cockpit_2026[[#This Row],[Relev.]]+TB_Cockpit_2026[[#This Row],[SCORE]]</f>
        <v>18</v>
      </c>
      <c r="AS1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12" s="39"/>
      <c r="AU12" s="182"/>
    </row>
    <row r="13" spans="1:47" s="22" customFormat="1" ht="18" hidden="1" x14ac:dyDescent="0.2">
      <c r="A13" s="22">
        <v>0</v>
      </c>
      <c r="B13" s="139" t="s">
        <v>68</v>
      </c>
      <c r="C13" s="140"/>
      <c r="D13" s="141">
        <v>1</v>
      </c>
      <c r="E13" s="142" t="s">
        <v>69</v>
      </c>
      <c r="F13" s="142" t="s">
        <v>2</v>
      </c>
      <c r="G13" s="143" t="s">
        <v>64</v>
      </c>
      <c r="H13" s="142" t="s">
        <v>70</v>
      </c>
      <c r="I13" s="144" t="s">
        <v>66</v>
      </c>
      <c r="J13" s="144" t="s">
        <v>67</v>
      </c>
      <c r="K13" s="35">
        <v>0</v>
      </c>
      <c r="L13" s="145">
        <v>5000</v>
      </c>
      <c r="M13" s="35">
        <v>0</v>
      </c>
      <c r="N13" s="145">
        <v>5000</v>
      </c>
      <c r="O13" s="146">
        <v>6</v>
      </c>
      <c r="P13" s="147">
        <v>46024</v>
      </c>
      <c r="Q13" s="148">
        <f>+IF(OR(TB_Cockpit_2026[[#This Row],[SPRINT]]="",TB_Cockpit_2026[[#This Row],[SPRINT]]=0),"",TB_Cockpit_2026[[#This Row],[Dt. INÍCIO]]+(TB_Cockpit_2026[[#This Row],[SPRINT]]*15))</f>
        <v>46114</v>
      </c>
      <c r="R13" s="149">
        <f ca="1">+IF(TB_Cockpit_2026[[#This Row],[Dt. INÍCIO]]&lt;&gt;"",IF(TB_Cockpit_2026[[#This Row],[Dt. INÍCIO]]&gt;TODAY(),0,(TODAY()-TB_Cockpit_2026[[#This Row],[Dt. INÍCIO]])/(TB_Cockpit_2026[[#This Row],[TÉRMINO]]-TB_Cockpit_2026[[#This Row],[Dt. INÍCIO]])),"")</f>
        <v>0</v>
      </c>
      <c r="S13" s="150">
        <v>0.2</v>
      </c>
      <c r="T13" s="40">
        <f ca="1">+IF(TB_Cockpit_2026[[#This Row],[%Prev.]]=0,1,IF(TB_Cockpit_2026[[#This Row],[%Real]]&lt;TB_Cockpit_2026[[#This Row],[%Prev.]],0,IF(AND(TB_Cockpit_2026[[#This Row],[%Prev.]]&lt;&gt;"",TB_Cockpit_2026[[#This Row],[%Real]]=""),0,IF(TB_Cockpit_2026[[#This Row],[%Real]]&gt;=TB_Cockpit_2026[[#This Row],[%Prev.]],2,1))))</f>
        <v>1</v>
      </c>
      <c r="U1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1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1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1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1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3" s="43">
        <v>2</v>
      </c>
      <c r="AH13" s="17">
        <v>2</v>
      </c>
      <c r="AI13" s="17">
        <v>2</v>
      </c>
      <c r="AJ13" s="17">
        <v>1</v>
      </c>
      <c r="AK13" s="18">
        <f>+(TB_Cockpit_2026[[#This Row],[Encantar os Clientes]]*$AH$10)+(TB_Cockpit_2026[[#This Row],[Capital com Foco]]*$AJ$10)+(TB_Cockpit_2026[[#This Row],[Alta Rentabilidade]]*$AI$10)+IF(TB_Cockpit_2026[[#This Row],[u]]="u",4,0)</f>
        <v>7</v>
      </c>
      <c r="AL13" s="19">
        <v>1</v>
      </c>
      <c r="AM13" s="20">
        <v>2</v>
      </c>
      <c r="AN13" s="20">
        <v>1</v>
      </c>
      <c r="AO13" s="20">
        <v>4</v>
      </c>
      <c r="AP13" s="20">
        <v>1</v>
      </c>
      <c r="AQ13" s="21">
        <f>SUM(TB_Cockpit_2026[[#This Row],[K1]:[K5]])</f>
        <v>9</v>
      </c>
      <c r="AR13" s="27">
        <f>+TB_Cockpit_2026[[#This Row],[Relev.]]+TB_Cockpit_2026[[#This Row],[SCORE]]</f>
        <v>16</v>
      </c>
      <c r="AS1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13" s="39"/>
      <c r="AU13" s="183" t="s">
        <v>71</v>
      </c>
    </row>
    <row r="14" spans="1:47" ht="19" hidden="1" x14ac:dyDescent="0.2">
      <c r="B14" s="139" t="s">
        <v>72</v>
      </c>
      <c r="C14" s="140" t="s">
        <v>18</v>
      </c>
      <c r="D14" s="141">
        <v>1</v>
      </c>
      <c r="E14" s="142" t="s">
        <v>73</v>
      </c>
      <c r="F14" s="142" t="s">
        <v>0</v>
      </c>
      <c r="G14" s="143" t="s">
        <v>64</v>
      </c>
      <c r="H14" s="142" t="s">
        <v>65</v>
      </c>
      <c r="I14" s="144" t="s">
        <v>66</v>
      </c>
      <c r="J14" s="144" t="s">
        <v>67</v>
      </c>
      <c r="K14" s="35">
        <v>0</v>
      </c>
      <c r="L14" s="145">
        <v>4000</v>
      </c>
      <c r="M14" s="35">
        <v>0</v>
      </c>
      <c r="N14" s="145">
        <v>5000</v>
      </c>
      <c r="O14" s="146">
        <v>3</v>
      </c>
      <c r="P14" s="147">
        <v>46027</v>
      </c>
      <c r="Q14" s="148">
        <f>+IF(OR(TB_Cockpit_2026[[#This Row],[SPRINT]]="",TB_Cockpit_2026[[#This Row],[SPRINT]]=0),"",TB_Cockpit_2026[[#This Row],[Dt. INÍCIO]]+(TB_Cockpit_2026[[#This Row],[SPRINT]]*15))</f>
        <v>46072</v>
      </c>
      <c r="R14" s="149">
        <f ca="1">+IF(TB_Cockpit_2026[[#This Row],[Dt. INÍCIO]]&lt;&gt;"",IF(TB_Cockpit_2026[[#This Row],[Dt. INÍCIO]]&gt;TODAY(),0,(TODAY()-TB_Cockpit_2026[[#This Row],[Dt. INÍCIO]])/(TB_Cockpit_2026[[#This Row],[TÉRMINO]]-TB_Cockpit_2026[[#This Row],[Dt. INÍCIO]])),"")</f>
        <v>0</v>
      </c>
      <c r="S14" s="150">
        <v>0.8</v>
      </c>
      <c r="T14" s="40">
        <f ca="1">+IF(TB_Cockpit_2026[[#This Row],[%Prev.]]=0,1,IF(TB_Cockpit_2026[[#This Row],[%Real]]&lt;TB_Cockpit_2026[[#This Row],[%Prev.]],0,IF(AND(TB_Cockpit_2026[[#This Row],[%Prev.]]&lt;&gt;"",TB_Cockpit_2026[[#This Row],[%Real]]=""),0,IF(TB_Cockpit_2026[[#This Row],[%Real]]&gt;=TB_Cockpit_2026[[#This Row],[%Prev.]],2,1))))</f>
        <v>1</v>
      </c>
      <c r="U1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1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1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1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1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4" s="43">
        <v>3</v>
      </c>
      <c r="AH14" s="17">
        <v>2</v>
      </c>
      <c r="AI14" s="17">
        <v>4</v>
      </c>
      <c r="AJ14" s="17">
        <v>2</v>
      </c>
      <c r="AK14" s="18">
        <f>+(TB_Cockpit_2026[[#This Row],[Encantar os Clientes]]*$AH$10)+(TB_Cockpit_2026[[#This Row],[Capital com Foco]]*$AJ$10)+(TB_Cockpit_2026[[#This Row],[Alta Rentabilidade]]*$AI$10)+IF(TB_Cockpit_2026[[#This Row],[u]]="u",4,0)</f>
        <v>14</v>
      </c>
      <c r="AL14" s="19">
        <v>3</v>
      </c>
      <c r="AM14" s="20">
        <v>2</v>
      </c>
      <c r="AN14" s="20">
        <v>3</v>
      </c>
      <c r="AO14" s="20">
        <v>4</v>
      </c>
      <c r="AP14" s="20">
        <v>2</v>
      </c>
      <c r="AQ14" s="21">
        <f>SUM(TB_Cockpit_2026[[#This Row],[K1]:[K5]])</f>
        <v>14</v>
      </c>
      <c r="AR14" s="27">
        <f>+TB_Cockpit_2026[[#This Row],[Relev.]]+TB_Cockpit_2026[[#This Row],[SCORE]]</f>
        <v>28</v>
      </c>
      <c r="AS1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14" s="39"/>
      <c r="AU14" s="186" t="s">
        <v>74</v>
      </c>
    </row>
    <row r="15" spans="1:47" ht="19" hidden="1" x14ac:dyDescent="0.2">
      <c r="B15" s="139" t="s">
        <v>75</v>
      </c>
      <c r="C15" s="140" t="s">
        <v>18</v>
      </c>
      <c r="D15" s="141">
        <v>1</v>
      </c>
      <c r="E15" s="181" t="s">
        <v>76</v>
      </c>
      <c r="F15" s="142" t="s">
        <v>0</v>
      </c>
      <c r="G15" s="143" t="s">
        <v>77</v>
      </c>
      <c r="H15" s="142" t="s">
        <v>78</v>
      </c>
      <c r="I15" s="144" t="s">
        <v>66</v>
      </c>
      <c r="J15" s="144" t="s">
        <v>67</v>
      </c>
      <c r="K15" s="35">
        <v>0</v>
      </c>
      <c r="L15" s="145">
        <f>+IF(K15=0,0,IF(K15=1,Apoio!$H$2,IF(K15=2,Apoio!$H$3,IF(K15=3,Apoio!$H$4,IF(K15=4,Apoio!$H$5,0)))))</f>
        <v>0</v>
      </c>
      <c r="M15" s="35">
        <v>0</v>
      </c>
      <c r="N15" s="145">
        <v>7000</v>
      </c>
      <c r="O15" s="146">
        <v>10</v>
      </c>
      <c r="P15" s="147">
        <v>46024</v>
      </c>
      <c r="Q15" s="148">
        <f>+IF(OR(TB_Cockpit_2026[[#This Row],[SPRINT]]="",TB_Cockpit_2026[[#This Row],[SPRINT]]=0),"",TB_Cockpit_2026[[#This Row],[Dt. INÍCIO]]+(TB_Cockpit_2026[[#This Row],[SPRINT]]*15))</f>
        <v>46174</v>
      </c>
      <c r="R15" s="149">
        <f ca="1">+IF(TB_Cockpit_2026[[#This Row],[Dt. INÍCIO]]&lt;&gt;"",IF(TB_Cockpit_2026[[#This Row],[Dt. INÍCIO]]&gt;TODAY(),0,(TODAY()-TB_Cockpit_2026[[#This Row],[Dt. INÍCIO]])/(TB_Cockpit_2026[[#This Row],[TÉRMINO]]-TB_Cockpit_2026[[#This Row],[Dt. INÍCIO]])),"")</f>
        <v>0</v>
      </c>
      <c r="S15" s="150">
        <v>0.1</v>
      </c>
      <c r="T15" s="40">
        <f ca="1">+IF(TB_Cockpit_2026[[#This Row],[%Prev.]]=0,1,IF(TB_Cockpit_2026[[#This Row],[%Real]]&lt;TB_Cockpit_2026[[#This Row],[%Prev.]],0,IF(AND(TB_Cockpit_2026[[#This Row],[%Prev.]]&lt;&gt;"",TB_Cockpit_2026[[#This Row],[%Real]]=""),0,IF(TB_Cockpit_2026[[#This Row],[%Real]]&gt;=TB_Cockpit_2026[[#This Row],[%Prev.]],2,1))))</f>
        <v>1</v>
      </c>
      <c r="U1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1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1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1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1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5" s="43">
        <v>1</v>
      </c>
      <c r="AH15" s="17">
        <v>4</v>
      </c>
      <c r="AI15" s="17">
        <v>4</v>
      </c>
      <c r="AJ15" s="17">
        <v>4</v>
      </c>
      <c r="AK15" s="18">
        <f>+(TB_Cockpit_2026[[#This Row],[Encantar os Clientes]]*$AH$10)+(TB_Cockpit_2026[[#This Row],[Capital com Foco]]*$AJ$10)+(TB_Cockpit_2026[[#This Row],[Alta Rentabilidade]]*$AI$10)+IF(TB_Cockpit_2026[[#This Row],[u]]="u",4,0)</f>
        <v>20</v>
      </c>
      <c r="AL15" s="19">
        <v>4</v>
      </c>
      <c r="AM15" s="20">
        <v>1</v>
      </c>
      <c r="AN15" s="20">
        <v>4</v>
      </c>
      <c r="AO15" s="20">
        <v>4</v>
      </c>
      <c r="AP15" s="20">
        <v>4</v>
      </c>
      <c r="AQ15" s="21">
        <f>SUM(TB_Cockpit_2026[[#This Row],[K1]:[K5]])</f>
        <v>17</v>
      </c>
      <c r="AR15" s="27">
        <f>+TB_Cockpit_2026[[#This Row],[Relev.]]+TB_Cockpit_2026[[#This Row],[SCORE]]</f>
        <v>37</v>
      </c>
      <c r="AS1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15" s="39"/>
    </row>
    <row r="16" spans="1:47" ht="18" hidden="1" x14ac:dyDescent="0.2">
      <c r="B16" s="139" t="s">
        <v>79</v>
      </c>
      <c r="C16" s="140"/>
      <c r="D16" s="141">
        <v>1</v>
      </c>
      <c r="E16" s="181" t="s">
        <v>80</v>
      </c>
      <c r="F16" s="142" t="s">
        <v>2</v>
      </c>
      <c r="G16" s="143" t="s">
        <v>64</v>
      </c>
      <c r="H16" s="142" t="s">
        <v>78</v>
      </c>
      <c r="I16" s="144" t="s">
        <v>66</v>
      </c>
      <c r="J16" s="144" t="s">
        <v>67</v>
      </c>
      <c r="K16" s="35">
        <v>0</v>
      </c>
      <c r="L16" s="145">
        <f>+IF(K16=0,0,IF(K16=1,Apoio!$H$2,IF(K16=2,Apoio!$H$3,IF(K16=3,Apoio!$H$4,IF(K16=4,Apoio!$H$5,0)))))</f>
        <v>0</v>
      </c>
      <c r="M16" s="35">
        <v>0</v>
      </c>
      <c r="N16" s="145">
        <v>20000</v>
      </c>
      <c r="O16" s="146">
        <v>10</v>
      </c>
      <c r="P16" s="147">
        <v>46083</v>
      </c>
      <c r="Q16" s="148">
        <f>+IF(OR(TB_Cockpit_2026[[#This Row],[SPRINT]]="",TB_Cockpit_2026[[#This Row],[SPRINT]]=0),"",TB_Cockpit_2026[[#This Row],[Dt. INÍCIO]]+(TB_Cockpit_2026[[#This Row],[SPRINT]]*15))</f>
        <v>46233</v>
      </c>
      <c r="R16" s="149">
        <f ca="1">+IF(TB_Cockpit_2026[[#This Row],[Dt. INÍCIO]]&lt;&gt;"",IF(TB_Cockpit_2026[[#This Row],[Dt. INÍCIO]]&gt;TODAY(),0,(TODAY()-TB_Cockpit_2026[[#This Row],[Dt. INÍCIO]])/(TB_Cockpit_2026[[#This Row],[TÉRMINO]]-TB_Cockpit_2026[[#This Row],[Dt. INÍCIO]])),"")</f>
        <v>0</v>
      </c>
      <c r="S16" s="150"/>
      <c r="T16" s="40">
        <f ca="1">+IF(TB_Cockpit_2026[[#This Row],[%Prev.]]=0,1,IF(TB_Cockpit_2026[[#This Row],[%Real]]&lt;TB_Cockpit_2026[[#This Row],[%Prev.]],0,IF(AND(TB_Cockpit_2026[[#This Row],[%Prev.]]&lt;&gt;"",TB_Cockpit_2026[[#This Row],[%Real]]=""),0,IF(TB_Cockpit_2026[[#This Row],[%Real]]&gt;=TB_Cockpit_2026[[#This Row],[%Prev.]],2,1))))</f>
        <v>1</v>
      </c>
      <c r="U1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1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1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1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1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1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1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1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6" s="43">
        <v>3</v>
      </c>
      <c r="AH16" s="17">
        <v>2</v>
      </c>
      <c r="AI16" s="17">
        <v>1</v>
      </c>
      <c r="AJ16" s="17">
        <v>1</v>
      </c>
      <c r="AK16" s="18">
        <f>+(TB_Cockpit_2026[[#This Row],[Encantar os Clientes]]*$AH$10)+(TB_Cockpit_2026[[#This Row],[Capital com Foco]]*$AJ$10)+(TB_Cockpit_2026[[#This Row],[Alta Rentabilidade]]*$AI$10)+IF(TB_Cockpit_2026[[#This Row],[u]]="u",4,0)</f>
        <v>6</v>
      </c>
      <c r="AL16" s="19">
        <v>2</v>
      </c>
      <c r="AM16" s="20">
        <v>2</v>
      </c>
      <c r="AN16" s="20">
        <v>1</v>
      </c>
      <c r="AO16" s="20">
        <v>3</v>
      </c>
      <c r="AP16" s="20">
        <v>4</v>
      </c>
      <c r="AQ16" s="21">
        <f>SUM(TB_Cockpit_2026[[#This Row],[K1]:[K5]])</f>
        <v>12</v>
      </c>
      <c r="AR16" s="27">
        <f>+TB_Cockpit_2026[[#This Row],[Relev.]]+TB_Cockpit_2026[[#This Row],[SCORE]]</f>
        <v>18</v>
      </c>
      <c r="AS1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16" s="39"/>
      <c r="AU16" t="s">
        <v>81</v>
      </c>
    </row>
    <row r="17" spans="2:47" ht="18" hidden="1" x14ac:dyDescent="0.2">
      <c r="B17" s="139" t="s">
        <v>82</v>
      </c>
      <c r="C17" s="140"/>
      <c r="D17" s="141">
        <v>1</v>
      </c>
      <c r="E17" s="181" t="s">
        <v>83</v>
      </c>
      <c r="F17" s="142" t="s">
        <v>0</v>
      </c>
      <c r="G17" s="143" t="s">
        <v>77</v>
      </c>
      <c r="H17" s="142" t="s">
        <v>65</v>
      </c>
      <c r="I17" s="152" t="s">
        <v>66</v>
      </c>
      <c r="J17" s="144" t="s">
        <v>67</v>
      </c>
      <c r="K17" s="35">
        <v>0</v>
      </c>
      <c r="L17" s="145">
        <v>8000</v>
      </c>
      <c r="M17" s="35">
        <v>0</v>
      </c>
      <c r="N17" s="145">
        <v>2000</v>
      </c>
      <c r="O17" s="146">
        <v>3</v>
      </c>
      <c r="P17" s="147">
        <v>46024</v>
      </c>
      <c r="Q17" s="148">
        <f>+IF(OR(TB_Cockpit_2026[[#This Row],[SPRINT]]="",TB_Cockpit_2026[[#This Row],[SPRINT]]=0),"",TB_Cockpit_2026[[#This Row],[Dt. INÍCIO]]+(TB_Cockpit_2026[[#This Row],[SPRINT]]*15))</f>
        <v>46069</v>
      </c>
      <c r="R17" s="149">
        <f ca="1">+IF(TB_Cockpit_2026[[#This Row],[Dt. INÍCIO]]&lt;&gt;"",IF(TB_Cockpit_2026[[#This Row],[Dt. INÍCIO]]&gt;TODAY(),0,(TODAY()-TB_Cockpit_2026[[#This Row],[Dt. INÍCIO]])/(TB_Cockpit_2026[[#This Row],[TÉRMINO]]-TB_Cockpit_2026[[#This Row],[Dt. INÍCIO]])),"")</f>
        <v>0</v>
      </c>
      <c r="S17" s="150">
        <v>0.2</v>
      </c>
      <c r="T17" s="40">
        <f ca="1">+IF(TB_Cockpit_2026[[#This Row],[%Prev.]]=0,1,IF(TB_Cockpit_2026[[#This Row],[%Real]]&lt;TB_Cockpit_2026[[#This Row],[%Prev.]],0,IF(AND(TB_Cockpit_2026[[#This Row],[%Prev.]]&lt;&gt;"",TB_Cockpit_2026[[#This Row],[%Real]]=""),0,IF(TB_Cockpit_2026[[#This Row],[%Real]]&gt;=TB_Cockpit_2026[[#This Row],[%Prev.]],2,1))))</f>
        <v>1</v>
      </c>
      <c r="U1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1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1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1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1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7" s="43">
        <v>1</v>
      </c>
      <c r="AH17" s="17">
        <v>2</v>
      </c>
      <c r="AI17" s="17">
        <v>2</v>
      </c>
      <c r="AJ17" s="17">
        <v>2</v>
      </c>
      <c r="AK17" s="18">
        <f>+(TB_Cockpit_2026[[#This Row],[Encantar os Clientes]]*$AH$10)+(TB_Cockpit_2026[[#This Row],[Capital com Foco]]*$AJ$10)+(TB_Cockpit_2026[[#This Row],[Alta Rentabilidade]]*$AI$10)+IF(TB_Cockpit_2026[[#This Row],[u]]="u",4,0)</f>
        <v>8</v>
      </c>
      <c r="AL17" s="19">
        <v>2</v>
      </c>
      <c r="AM17" s="20">
        <v>0</v>
      </c>
      <c r="AN17" s="20">
        <v>2</v>
      </c>
      <c r="AO17" s="20">
        <v>1</v>
      </c>
      <c r="AP17" s="20">
        <v>3</v>
      </c>
      <c r="AQ17" s="21">
        <f>SUM(TB_Cockpit_2026[[#This Row],[K1]:[K5]])</f>
        <v>8</v>
      </c>
      <c r="AR17" s="27">
        <f>+TB_Cockpit_2026[[#This Row],[Relev.]]+TB_Cockpit_2026[[#This Row],[SCORE]]</f>
        <v>16</v>
      </c>
      <c r="AS1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17" s="39"/>
      <c r="AU17" s="184" t="s">
        <v>84</v>
      </c>
    </row>
    <row r="18" spans="2:47" ht="18" hidden="1" x14ac:dyDescent="0.2">
      <c r="B18" s="139" t="s">
        <v>85</v>
      </c>
      <c r="C18" s="140"/>
      <c r="D18" s="141">
        <v>1</v>
      </c>
      <c r="E18" s="142" t="s">
        <v>86</v>
      </c>
      <c r="F18" s="142" t="s">
        <v>0</v>
      </c>
      <c r="G18" s="143" t="s">
        <v>77</v>
      </c>
      <c r="H18" s="142" t="s">
        <v>65</v>
      </c>
      <c r="I18" s="144" t="s">
        <v>66</v>
      </c>
      <c r="J18" s="144" t="s">
        <v>67</v>
      </c>
      <c r="K18" s="35">
        <v>0</v>
      </c>
      <c r="L18" s="145">
        <v>10000</v>
      </c>
      <c r="M18" s="35">
        <v>0</v>
      </c>
      <c r="N18" s="145">
        <v>10000</v>
      </c>
      <c r="O18" s="146">
        <v>8</v>
      </c>
      <c r="P18" s="147">
        <v>46083</v>
      </c>
      <c r="Q18" s="148">
        <f>+IF(OR(TB_Cockpit_2026[[#This Row],[SPRINT]]="",TB_Cockpit_2026[[#This Row],[SPRINT]]=0),"",TB_Cockpit_2026[[#This Row],[Dt. INÍCIO]]+(TB_Cockpit_2026[[#This Row],[SPRINT]]*15))</f>
        <v>46203</v>
      </c>
      <c r="R18" s="149">
        <f ca="1">+IF(TB_Cockpit_2026[[#This Row],[Dt. INÍCIO]]&lt;&gt;"",IF(TB_Cockpit_2026[[#This Row],[Dt. INÍCIO]]&gt;TODAY(),0,(TODAY()-TB_Cockpit_2026[[#This Row],[Dt. INÍCIO]])/(TB_Cockpit_2026[[#This Row],[TÉRMINO]]-TB_Cockpit_2026[[#This Row],[Dt. INÍCIO]])),"")</f>
        <v>0</v>
      </c>
      <c r="S18" s="150"/>
      <c r="T18" s="40">
        <f ca="1">+IF(TB_Cockpit_2026[[#This Row],[%Prev.]]=0,1,IF(TB_Cockpit_2026[[#This Row],[%Real]]&lt;TB_Cockpit_2026[[#This Row],[%Prev.]],0,IF(AND(TB_Cockpit_2026[[#This Row],[%Prev.]]&lt;&gt;"",TB_Cockpit_2026[[#This Row],[%Real]]=""),0,IF(TB_Cockpit_2026[[#This Row],[%Real]]&gt;=TB_Cockpit_2026[[#This Row],[%Prev.]],2,1))))</f>
        <v>1</v>
      </c>
      <c r="U1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1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1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1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1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1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1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8" s="43">
        <v>1</v>
      </c>
      <c r="AH18" s="17">
        <v>2</v>
      </c>
      <c r="AI18" s="17">
        <v>2</v>
      </c>
      <c r="AJ18" s="17">
        <v>2</v>
      </c>
      <c r="AK18" s="18">
        <f>+(TB_Cockpit_2026[[#This Row],[Encantar os Clientes]]*$AH$10)+(TB_Cockpit_2026[[#This Row],[Capital com Foco]]*$AJ$10)+(TB_Cockpit_2026[[#This Row],[Alta Rentabilidade]]*$AI$10)+IF(TB_Cockpit_2026[[#This Row],[u]]="u",4,0)</f>
        <v>8</v>
      </c>
      <c r="AL18" s="19">
        <v>1</v>
      </c>
      <c r="AM18" s="20">
        <v>1</v>
      </c>
      <c r="AN18" s="20">
        <v>1</v>
      </c>
      <c r="AO18" s="20">
        <v>4</v>
      </c>
      <c r="AP18" s="20">
        <v>1</v>
      </c>
      <c r="AQ18" s="21">
        <f>SUM(TB_Cockpit_2026[[#This Row],[K1]:[K5]])</f>
        <v>8</v>
      </c>
      <c r="AR18" s="27">
        <f>+TB_Cockpit_2026[[#This Row],[Relev.]]+TB_Cockpit_2026[[#This Row],[SCORE]]</f>
        <v>16</v>
      </c>
      <c r="AS1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18" s="39"/>
      <c r="AU18" s="184" t="s">
        <v>87</v>
      </c>
    </row>
    <row r="19" spans="2:47" ht="18" hidden="1" x14ac:dyDescent="0.2">
      <c r="B19" s="139" t="s">
        <v>88</v>
      </c>
      <c r="C19" s="140"/>
      <c r="D19" s="141">
        <v>1</v>
      </c>
      <c r="E19" s="181" t="s">
        <v>89</v>
      </c>
      <c r="F19" s="142" t="s">
        <v>0</v>
      </c>
      <c r="G19" s="143" t="s">
        <v>64</v>
      </c>
      <c r="H19" s="142" t="s">
        <v>78</v>
      </c>
      <c r="I19" s="144" t="s">
        <v>66</v>
      </c>
      <c r="J19" s="144" t="s">
        <v>67</v>
      </c>
      <c r="K19" s="35">
        <v>0</v>
      </c>
      <c r="L19" s="145">
        <f>+IF(K19=0,0,IF(K19=1,Apoio!$H$2,IF(K19=2,Apoio!$H$3,IF(K19=3,Apoio!$H$4,IF(K19=4,Apoio!$H$5,0)))))</f>
        <v>0</v>
      </c>
      <c r="M19" s="35">
        <v>0</v>
      </c>
      <c r="N19" s="145">
        <v>2000</v>
      </c>
      <c r="O19" s="146">
        <v>2</v>
      </c>
      <c r="P19" s="147">
        <v>46027</v>
      </c>
      <c r="Q19" s="148">
        <f>+IF(OR(TB_Cockpit_2026[[#This Row],[SPRINT]]="",TB_Cockpit_2026[[#This Row],[SPRINT]]=0),"",TB_Cockpit_2026[[#This Row],[Dt. INÍCIO]]+(TB_Cockpit_2026[[#This Row],[SPRINT]]*15))</f>
        <v>46057</v>
      </c>
      <c r="R19" s="149">
        <f ca="1">+IF(TB_Cockpit_2026[[#This Row],[Dt. INÍCIO]]&lt;&gt;"",IF(TB_Cockpit_2026[[#This Row],[Dt. INÍCIO]]&gt;TODAY(),0,(TODAY()-TB_Cockpit_2026[[#This Row],[Dt. INÍCIO]])/(TB_Cockpit_2026[[#This Row],[TÉRMINO]]-TB_Cockpit_2026[[#This Row],[Dt. INÍCIO]])),"")</f>
        <v>0</v>
      </c>
      <c r="S19" s="150">
        <v>0.3</v>
      </c>
      <c r="T19" s="40">
        <f ca="1">+IF(TB_Cockpit_2026[[#This Row],[%Prev.]]=0,1,IF(TB_Cockpit_2026[[#This Row],[%Real]]&lt;TB_Cockpit_2026[[#This Row],[%Prev.]],0,IF(AND(TB_Cockpit_2026[[#This Row],[%Prev.]]&lt;&gt;"",TB_Cockpit_2026[[#This Row],[%Real]]=""),0,IF(TB_Cockpit_2026[[#This Row],[%Real]]&gt;=TB_Cockpit_2026[[#This Row],[%Prev.]],2,1))))</f>
        <v>1</v>
      </c>
      <c r="U1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1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1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1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1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1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1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1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1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1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1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1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19" s="43">
        <v>0</v>
      </c>
      <c r="AH19" s="17">
        <v>2</v>
      </c>
      <c r="AI19" s="17">
        <v>1</v>
      </c>
      <c r="AJ19" s="17">
        <v>1</v>
      </c>
      <c r="AK19" s="18">
        <f>+(TB_Cockpit_2026[[#This Row],[Encantar os Clientes]]*$AH$10)+(TB_Cockpit_2026[[#This Row],[Capital com Foco]]*$AJ$10)+(TB_Cockpit_2026[[#This Row],[Alta Rentabilidade]]*$AI$10)+IF(TB_Cockpit_2026[[#This Row],[u]]="u",4,0)</f>
        <v>6</v>
      </c>
      <c r="AL19" s="19">
        <v>2</v>
      </c>
      <c r="AM19" s="20">
        <v>2</v>
      </c>
      <c r="AN19" s="20">
        <v>2</v>
      </c>
      <c r="AO19" s="20">
        <v>1</v>
      </c>
      <c r="AP19" s="20">
        <v>2</v>
      </c>
      <c r="AQ19" s="21">
        <f>SUM(TB_Cockpit_2026[[#This Row],[K1]:[K5]])</f>
        <v>9</v>
      </c>
      <c r="AR19" s="27">
        <f>+TB_Cockpit_2026[[#This Row],[Relev.]]+TB_Cockpit_2026[[#This Row],[SCORE]]</f>
        <v>15</v>
      </c>
      <c r="AS1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19" s="39"/>
      <c r="AU19" s="184"/>
    </row>
    <row r="20" spans="2:47" ht="18" hidden="1" x14ac:dyDescent="0.2">
      <c r="B20" s="139" t="s">
        <v>90</v>
      </c>
      <c r="C20" s="140"/>
      <c r="D20" s="141">
        <v>1</v>
      </c>
      <c r="E20" s="142" t="s">
        <v>91</v>
      </c>
      <c r="F20" s="142" t="s">
        <v>0</v>
      </c>
      <c r="G20" s="143" t="s">
        <v>77</v>
      </c>
      <c r="H20" s="142" t="s">
        <v>78</v>
      </c>
      <c r="I20" s="144" t="s">
        <v>66</v>
      </c>
      <c r="J20" s="144" t="s">
        <v>67</v>
      </c>
      <c r="K20" s="35">
        <v>0</v>
      </c>
      <c r="L20" s="145">
        <v>20000</v>
      </c>
      <c r="M20" s="35">
        <v>0</v>
      </c>
      <c r="N20" s="145">
        <v>5000</v>
      </c>
      <c r="O20" s="146">
        <v>8</v>
      </c>
      <c r="P20" s="147">
        <v>46118</v>
      </c>
      <c r="Q20" s="148">
        <f>+IF(OR(TB_Cockpit_2026[[#This Row],[SPRINT]]="",TB_Cockpit_2026[[#This Row],[SPRINT]]=0),"",TB_Cockpit_2026[[#This Row],[Dt. INÍCIO]]+(TB_Cockpit_2026[[#This Row],[SPRINT]]*15))</f>
        <v>46238</v>
      </c>
      <c r="R20" s="149">
        <f ca="1">+IF(TB_Cockpit_2026[[#This Row],[Dt. INÍCIO]]&lt;&gt;"",IF(TB_Cockpit_2026[[#This Row],[Dt. INÍCIO]]&gt;TODAY(),0,(TODAY()-TB_Cockpit_2026[[#This Row],[Dt. INÍCIO]])/(TB_Cockpit_2026[[#This Row],[TÉRMINO]]-TB_Cockpit_2026[[#This Row],[Dt. INÍCIO]])),"")</f>
        <v>0</v>
      </c>
      <c r="S20" s="150"/>
      <c r="T20" s="40">
        <f ca="1">+IF(TB_Cockpit_2026[[#This Row],[%Prev.]]=0,1,IF(TB_Cockpit_2026[[#This Row],[%Real]]&lt;TB_Cockpit_2026[[#This Row],[%Prev.]],0,IF(AND(TB_Cockpit_2026[[#This Row],[%Prev.]]&lt;&gt;"",TB_Cockpit_2026[[#This Row],[%Real]]=""),0,IF(TB_Cockpit_2026[[#This Row],[%Real]]&gt;=TB_Cockpit_2026[[#This Row],[%Prev.]],2,1))))</f>
        <v>1</v>
      </c>
      <c r="U2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2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2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2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2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2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2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2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0" s="43">
        <v>1</v>
      </c>
      <c r="AH20" s="17">
        <v>3</v>
      </c>
      <c r="AI20" s="17">
        <v>2</v>
      </c>
      <c r="AJ20" s="17">
        <v>3</v>
      </c>
      <c r="AK20" s="18">
        <f>+(TB_Cockpit_2026[[#This Row],[Encantar os Clientes]]*$AH$10)+(TB_Cockpit_2026[[#This Row],[Capital com Foco]]*$AJ$10)+(TB_Cockpit_2026[[#This Row],[Alta Rentabilidade]]*$AI$10)+IF(TB_Cockpit_2026[[#This Row],[u]]="u",4,0)</f>
        <v>11</v>
      </c>
      <c r="AL20" s="19">
        <v>4</v>
      </c>
      <c r="AM20" s="20">
        <v>2</v>
      </c>
      <c r="AN20" s="20">
        <v>4</v>
      </c>
      <c r="AO20" s="20">
        <v>2</v>
      </c>
      <c r="AP20" s="20">
        <v>4</v>
      </c>
      <c r="AQ20" s="21">
        <f>SUM(TB_Cockpit_2026[[#This Row],[K1]:[K5]])</f>
        <v>16</v>
      </c>
      <c r="AR20" s="27">
        <f>+TB_Cockpit_2026[[#This Row],[Relev.]]+TB_Cockpit_2026[[#This Row],[SCORE]]</f>
        <v>27</v>
      </c>
      <c r="AS2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20" s="39"/>
      <c r="AU20" s="184" t="s">
        <v>92</v>
      </c>
    </row>
    <row r="21" spans="2:47" ht="19" hidden="1" x14ac:dyDescent="0.2">
      <c r="B21" s="139" t="s">
        <v>93</v>
      </c>
      <c r="C21" s="140" t="s">
        <v>18</v>
      </c>
      <c r="D21" s="141">
        <v>1</v>
      </c>
      <c r="E21" s="181" t="s">
        <v>94</v>
      </c>
      <c r="F21" s="142" t="s">
        <v>0</v>
      </c>
      <c r="G21" s="143" t="s">
        <v>77</v>
      </c>
      <c r="H21" s="142" t="s">
        <v>65</v>
      </c>
      <c r="I21" s="144" t="s">
        <v>66</v>
      </c>
      <c r="J21" s="144" t="s">
        <v>67</v>
      </c>
      <c r="K21" s="35">
        <v>0</v>
      </c>
      <c r="L21" s="145">
        <v>4000</v>
      </c>
      <c r="M21" s="35">
        <v>0</v>
      </c>
      <c r="N21" s="145">
        <v>4000</v>
      </c>
      <c r="O21" s="146">
        <v>2</v>
      </c>
      <c r="P21" s="147">
        <v>46027</v>
      </c>
      <c r="Q21" s="148">
        <f>+IF(OR(TB_Cockpit_2026[[#This Row],[SPRINT]]="",TB_Cockpit_2026[[#This Row],[SPRINT]]=0),"",TB_Cockpit_2026[[#This Row],[Dt. INÍCIO]]+(TB_Cockpit_2026[[#This Row],[SPRINT]]*15))</f>
        <v>46057</v>
      </c>
      <c r="R21" s="149">
        <f ca="1">+IF(TB_Cockpit_2026[[#This Row],[Dt. INÍCIO]]&lt;&gt;"",IF(TB_Cockpit_2026[[#This Row],[Dt. INÍCIO]]&gt;TODAY(),0,(TODAY()-TB_Cockpit_2026[[#This Row],[Dt. INÍCIO]])/(TB_Cockpit_2026[[#This Row],[TÉRMINO]]-TB_Cockpit_2026[[#This Row],[Dt. INÍCIO]])),"")</f>
        <v>0</v>
      </c>
      <c r="S21" s="150">
        <v>0.8</v>
      </c>
      <c r="T21" s="40">
        <f ca="1">+IF(TB_Cockpit_2026[[#This Row],[%Prev.]]=0,1,IF(TB_Cockpit_2026[[#This Row],[%Real]]&lt;TB_Cockpit_2026[[#This Row],[%Prev.]],0,IF(AND(TB_Cockpit_2026[[#This Row],[%Prev.]]&lt;&gt;"",TB_Cockpit_2026[[#This Row],[%Real]]=""),0,IF(TB_Cockpit_2026[[#This Row],[%Real]]&gt;=TB_Cockpit_2026[[#This Row],[%Prev.]],2,1))))</f>
        <v>1</v>
      </c>
      <c r="U21"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21"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21"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1"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1"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1"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1"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1"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1"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1"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1"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1"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1" s="43">
        <v>3</v>
      </c>
      <c r="AH21" s="17">
        <v>4</v>
      </c>
      <c r="AI21" s="17">
        <v>3</v>
      </c>
      <c r="AJ21" s="17">
        <v>3</v>
      </c>
      <c r="AK21" s="18">
        <f>+(TB_Cockpit_2026[[#This Row],[Encantar os Clientes]]*$AH$10)+(TB_Cockpit_2026[[#This Row],[Capital com Foco]]*$AJ$10)+(TB_Cockpit_2026[[#This Row],[Alta Rentabilidade]]*$AI$10)+IF(TB_Cockpit_2026[[#This Row],[u]]="u",4,0)</f>
        <v>18</v>
      </c>
      <c r="AL21" s="19">
        <v>4</v>
      </c>
      <c r="AM21" s="20">
        <v>2</v>
      </c>
      <c r="AN21" s="20">
        <v>4</v>
      </c>
      <c r="AO21" s="20">
        <v>4</v>
      </c>
      <c r="AP21" s="20">
        <v>4</v>
      </c>
      <c r="AQ21" s="21">
        <f>SUM(TB_Cockpit_2026[[#This Row],[K1]:[K5]])</f>
        <v>18</v>
      </c>
      <c r="AR21" s="27">
        <f>+TB_Cockpit_2026[[#This Row],[Relev.]]+TB_Cockpit_2026[[#This Row],[SCORE]]</f>
        <v>36</v>
      </c>
      <c r="AS2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21" s="39"/>
      <c r="AU21" s="184" t="s">
        <v>95</v>
      </c>
    </row>
    <row r="22" spans="2:47" ht="18" hidden="1" x14ac:dyDescent="0.2">
      <c r="B22" s="139" t="s">
        <v>96</v>
      </c>
      <c r="C22" s="140"/>
      <c r="D22" s="141">
        <v>1</v>
      </c>
      <c r="E22" s="181" t="s">
        <v>97</v>
      </c>
      <c r="F22" s="142" t="s">
        <v>0</v>
      </c>
      <c r="G22" s="143" t="s">
        <v>77</v>
      </c>
      <c r="H22" s="142" t="s">
        <v>65</v>
      </c>
      <c r="I22" s="144" t="s">
        <v>66</v>
      </c>
      <c r="J22" s="144" t="s">
        <v>67</v>
      </c>
      <c r="K22" s="35">
        <v>0</v>
      </c>
      <c r="L22" s="145">
        <v>5000</v>
      </c>
      <c r="M22" s="35">
        <v>0</v>
      </c>
      <c r="N22" s="145">
        <v>6000</v>
      </c>
      <c r="O22" s="146">
        <v>4</v>
      </c>
      <c r="P22" s="147">
        <v>46024</v>
      </c>
      <c r="Q22" s="148">
        <f>+IF(OR(TB_Cockpit_2026[[#This Row],[SPRINT]]="",TB_Cockpit_2026[[#This Row],[SPRINT]]=0),"",TB_Cockpit_2026[[#This Row],[Dt. INÍCIO]]+(TB_Cockpit_2026[[#This Row],[SPRINT]]*15))</f>
        <v>46084</v>
      </c>
      <c r="R22" s="149">
        <f ca="1">+IF(TB_Cockpit_2026[[#This Row],[Dt. INÍCIO]]&lt;&gt;"",IF(TB_Cockpit_2026[[#This Row],[Dt. INÍCIO]]&gt;TODAY(),0,(TODAY()-TB_Cockpit_2026[[#This Row],[Dt. INÍCIO]])/(TB_Cockpit_2026[[#This Row],[TÉRMINO]]-TB_Cockpit_2026[[#This Row],[Dt. INÍCIO]])),"")</f>
        <v>0</v>
      </c>
      <c r="S22" s="150">
        <v>0.2</v>
      </c>
      <c r="T22" s="40">
        <f ca="1">+IF(TB_Cockpit_2026[[#This Row],[%Prev.]]=0,1,IF(TB_Cockpit_2026[[#This Row],[%Real]]&lt;TB_Cockpit_2026[[#This Row],[%Prev.]],0,IF(AND(TB_Cockpit_2026[[#This Row],[%Prev.]]&lt;&gt;"",TB_Cockpit_2026[[#This Row],[%Real]]=""),0,IF(TB_Cockpit_2026[[#This Row],[%Real]]&gt;=TB_Cockpit_2026[[#This Row],[%Prev.]],2,1))))</f>
        <v>1</v>
      </c>
      <c r="U2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2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2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2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2" s="43">
        <v>3</v>
      </c>
      <c r="AH22" s="17">
        <v>4</v>
      </c>
      <c r="AI22" s="17">
        <v>4</v>
      </c>
      <c r="AJ22" s="17">
        <v>4</v>
      </c>
      <c r="AK22" s="18">
        <f>+(TB_Cockpit_2026[[#This Row],[Encantar os Clientes]]*$AH$10)+(TB_Cockpit_2026[[#This Row],[Capital com Foco]]*$AJ$10)+(TB_Cockpit_2026[[#This Row],[Alta Rentabilidade]]*$AI$10)+IF(TB_Cockpit_2026[[#This Row],[u]]="u",4,0)</f>
        <v>16</v>
      </c>
      <c r="AL22" s="19">
        <v>3</v>
      </c>
      <c r="AM22" s="20">
        <v>0</v>
      </c>
      <c r="AN22" s="20">
        <v>2</v>
      </c>
      <c r="AO22" s="20">
        <v>3</v>
      </c>
      <c r="AP22" s="20">
        <v>2</v>
      </c>
      <c r="AQ22" s="21">
        <f>SUM(TB_Cockpit_2026[[#This Row],[K1]:[K5]])</f>
        <v>10</v>
      </c>
      <c r="AR22" s="27">
        <f>+TB_Cockpit_2026[[#This Row],[Relev.]]+TB_Cockpit_2026[[#This Row],[SCORE]]</f>
        <v>26</v>
      </c>
      <c r="AS2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22" s="39"/>
      <c r="AU22" s="184" t="s">
        <v>98</v>
      </c>
    </row>
    <row r="23" spans="2:47" ht="19" hidden="1" x14ac:dyDescent="0.2">
      <c r="B23" s="139" t="s">
        <v>99</v>
      </c>
      <c r="C23" s="140" t="s">
        <v>18</v>
      </c>
      <c r="D23" s="141">
        <v>1</v>
      </c>
      <c r="E23" s="142" t="s">
        <v>100</v>
      </c>
      <c r="F23" s="142" t="s">
        <v>0</v>
      </c>
      <c r="G23" s="143" t="s">
        <v>77</v>
      </c>
      <c r="H23" s="142" t="s">
        <v>78</v>
      </c>
      <c r="I23" s="144" t="s">
        <v>66</v>
      </c>
      <c r="J23" s="144" t="s">
        <v>67</v>
      </c>
      <c r="K23" s="35">
        <v>0</v>
      </c>
      <c r="L23" s="145">
        <v>7000</v>
      </c>
      <c r="M23" s="35">
        <v>0</v>
      </c>
      <c r="N23" s="145">
        <v>5000</v>
      </c>
      <c r="O23" s="146">
        <v>8</v>
      </c>
      <c r="P23" s="147">
        <v>46209</v>
      </c>
      <c r="Q23" s="148">
        <f>+IF(OR(TB_Cockpit_2026[[#This Row],[SPRINT]]="",TB_Cockpit_2026[[#This Row],[SPRINT]]=0),"",TB_Cockpit_2026[[#This Row],[Dt. INÍCIO]]+(TB_Cockpit_2026[[#This Row],[SPRINT]]*15))</f>
        <v>46329</v>
      </c>
      <c r="R23" s="149">
        <f ca="1">+IF(TB_Cockpit_2026[[#This Row],[Dt. INÍCIO]]&lt;&gt;"",IF(TB_Cockpit_2026[[#This Row],[Dt. INÍCIO]]&gt;TODAY(),0,(TODAY()-TB_Cockpit_2026[[#This Row],[Dt. INÍCIO]])/(TB_Cockpit_2026[[#This Row],[TÉRMINO]]-TB_Cockpit_2026[[#This Row],[Dt. INÍCIO]])),"")</f>
        <v>0</v>
      </c>
      <c r="S23" s="150"/>
      <c r="T23" s="40">
        <f ca="1">+IF(TB_Cockpit_2026[[#This Row],[%Prev.]]=0,1,IF(TB_Cockpit_2026[[#This Row],[%Real]]&lt;TB_Cockpit_2026[[#This Row],[%Prev.]],0,IF(AND(TB_Cockpit_2026[[#This Row],[%Prev.]]&lt;&gt;"",TB_Cockpit_2026[[#This Row],[%Real]]=""),0,IF(TB_Cockpit_2026[[#This Row],[%Real]]&gt;=TB_Cockpit_2026[[#This Row],[%Prev.]],2,1))))</f>
        <v>1</v>
      </c>
      <c r="U2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2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2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2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2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2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2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2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3" s="43">
        <v>1</v>
      </c>
      <c r="AH23" s="17">
        <v>2</v>
      </c>
      <c r="AI23" s="17">
        <v>2</v>
      </c>
      <c r="AJ23" s="17">
        <v>2</v>
      </c>
      <c r="AK23" s="18">
        <f>+(TB_Cockpit_2026[[#This Row],[Encantar os Clientes]]*$AH$10)+(TB_Cockpit_2026[[#This Row],[Capital com Foco]]*$AJ$10)+(TB_Cockpit_2026[[#This Row],[Alta Rentabilidade]]*$AI$10)+IF(TB_Cockpit_2026[[#This Row],[u]]="u",4,0)</f>
        <v>12</v>
      </c>
      <c r="AL23" s="19">
        <v>1</v>
      </c>
      <c r="AM23" s="20">
        <v>2</v>
      </c>
      <c r="AN23" s="20">
        <v>3</v>
      </c>
      <c r="AO23" s="20">
        <v>2</v>
      </c>
      <c r="AP23" s="20">
        <v>3</v>
      </c>
      <c r="AQ23" s="21">
        <f>SUM(TB_Cockpit_2026[[#This Row],[K1]:[K5]])</f>
        <v>11</v>
      </c>
      <c r="AR23" s="27">
        <f>+TB_Cockpit_2026[[#This Row],[Relev.]]+TB_Cockpit_2026[[#This Row],[SCORE]]</f>
        <v>23</v>
      </c>
      <c r="AS2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23" s="39"/>
      <c r="AU23" s="184" t="s">
        <v>101</v>
      </c>
    </row>
    <row r="24" spans="2:47" ht="18" hidden="1" x14ac:dyDescent="0.2">
      <c r="B24" s="139" t="s">
        <v>102</v>
      </c>
      <c r="C24" s="140"/>
      <c r="D24" s="141">
        <v>1</v>
      </c>
      <c r="E24" s="142" t="s">
        <v>103</v>
      </c>
      <c r="F24" s="142" t="s">
        <v>2</v>
      </c>
      <c r="G24" s="143" t="s">
        <v>77</v>
      </c>
      <c r="H24" s="142" t="s">
        <v>78</v>
      </c>
      <c r="I24" s="152" t="s">
        <v>66</v>
      </c>
      <c r="J24" s="144" t="s">
        <v>67</v>
      </c>
      <c r="K24" s="35">
        <v>0</v>
      </c>
      <c r="L24" s="145">
        <v>7000</v>
      </c>
      <c r="M24" s="35">
        <v>0</v>
      </c>
      <c r="N24" s="145">
        <v>5000</v>
      </c>
      <c r="O24" s="146">
        <v>8</v>
      </c>
      <c r="P24" s="147">
        <v>46240</v>
      </c>
      <c r="Q24" s="148">
        <f>+IF(OR(TB_Cockpit_2026[[#This Row],[SPRINT]]="",TB_Cockpit_2026[[#This Row],[SPRINT]]=0),"",TB_Cockpit_2026[[#This Row],[Dt. INÍCIO]]+(TB_Cockpit_2026[[#This Row],[SPRINT]]*15))</f>
        <v>46360</v>
      </c>
      <c r="R24" s="149">
        <f ca="1">+IF(TB_Cockpit_2026[[#This Row],[Dt. INÍCIO]]&lt;&gt;"",IF(TB_Cockpit_2026[[#This Row],[Dt. INÍCIO]]&gt;TODAY(),0,(TODAY()-TB_Cockpit_2026[[#This Row],[Dt. INÍCIO]])/(TB_Cockpit_2026[[#This Row],[TÉRMINO]]-TB_Cockpit_2026[[#This Row],[Dt. INÍCIO]])),"")</f>
        <v>0</v>
      </c>
      <c r="S24" s="150"/>
      <c r="T24" s="40">
        <f ca="1">+IF(TB_Cockpit_2026[[#This Row],[%Prev.]]=0,1,IF(TB_Cockpit_2026[[#This Row],[%Real]]&lt;TB_Cockpit_2026[[#This Row],[%Prev.]],0,IF(AND(TB_Cockpit_2026[[#This Row],[%Prev.]]&lt;&gt;"",TB_Cockpit_2026[[#This Row],[%Real]]=""),0,IF(TB_Cockpit_2026[[#This Row],[%Real]]&gt;=TB_Cockpit_2026[[#This Row],[%Prev.]],2,1))))</f>
        <v>1</v>
      </c>
      <c r="U2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2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2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2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2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2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2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24" s="43">
        <v>1</v>
      </c>
      <c r="AH24" s="17">
        <v>1</v>
      </c>
      <c r="AI24" s="17">
        <v>1</v>
      </c>
      <c r="AJ24" s="17">
        <v>2</v>
      </c>
      <c r="AK24" s="18">
        <f>+(TB_Cockpit_2026[[#This Row],[Encantar os Clientes]]*$AH$10)+(TB_Cockpit_2026[[#This Row],[Capital com Foco]]*$AJ$10)+(TB_Cockpit_2026[[#This Row],[Alta Rentabilidade]]*$AI$10)+IF(TB_Cockpit_2026[[#This Row],[u]]="u",4,0)</f>
        <v>5</v>
      </c>
      <c r="AL24" s="19">
        <v>3</v>
      </c>
      <c r="AM24" s="20">
        <v>1</v>
      </c>
      <c r="AN24" s="20">
        <v>4</v>
      </c>
      <c r="AO24" s="20">
        <v>1</v>
      </c>
      <c r="AP24" s="20">
        <v>3</v>
      </c>
      <c r="AQ24" s="21">
        <f>SUM(TB_Cockpit_2026[[#This Row],[K1]:[K5]])</f>
        <v>12</v>
      </c>
      <c r="AR24" s="27">
        <f>+TB_Cockpit_2026[[#This Row],[Relev.]]+TB_Cockpit_2026[[#This Row],[SCORE]]</f>
        <v>17</v>
      </c>
      <c r="AS2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24" s="39"/>
      <c r="AU24" s="184" t="s">
        <v>104</v>
      </c>
    </row>
    <row r="25" spans="2:47" ht="18" hidden="1" x14ac:dyDescent="0.2">
      <c r="B25" s="139" t="s">
        <v>105</v>
      </c>
      <c r="C25" s="140"/>
      <c r="D25" s="141">
        <v>1</v>
      </c>
      <c r="E25" s="181" t="s">
        <v>106</v>
      </c>
      <c r="F25" s="142" t="s">
        <v>2</v>
      </c>
      <c r="G25" s="143" t="s">
        <v>64</v>
      </c>
      <c r="H25" s="142" t="s">
        <v>65</v>
      </c>
      <c r="I25" s="152" t="s">
        <v>66</v>
      </c>
      <c r="J25" s="144" t="s">
        <v>67</v>
      </c>
      <c r="K25" s="35">
        <v>0</v>
      </c>
      <c r="L25" s="145">
        <v>5000</v>
      </c>
      <c r="M25" s="35">
        <v>0</v>
      </c>
      <c r="N25" s="145">
        <v>3000</v>
      </c>
      <c r="O25" s="146">
        <v>5</v>
      </c>
      <c r="P25" s="147">
        <v>46083</v>
      </c>
      <c r="Q25" s="148">
        <f>+IF(OR(TB_Cockpit_2026[[#This Row],[SPRINT]]="",TB_Cockpit_2026[[#This Row],[SPRINT]]=0),"",TB_Cockpit_2026[[#This Row],[Dt. INÍCIO]]+(TB_Cockpit_2026[[#This Row],[SPRINT]]*15))</f>
        <v>46158</v>
      </c>
      <c r="R25" s="149">
        <f ca="1">+IF(TB_Cockpit_2026[[#This Row],[Dt. INÍCIO]]&lt;&gt;"",IF(TB_Cockpit_2026[[#This Row],[Dt. INÍCIO]]&gt;TODAY(),0,(TODAY()-TB_Cockpit_2026[[#This Row],[Dt. INÍCIO]])/(TB_Cockpit_2026[[#This Row],[TÉRMINO]]-TB_Cockpit_2026[[#This Row],[Dt. INÍCIO]])),"")</f>
        <v>0</v>
      </c>
      <c r="S25" s="150"/>
      <c r="T25" s="40">
        <f ca="1">+IF(TB_Cockpit_2026[[#This Row],[%Prev.]]=0,1,IF(TB_Cockpit_2026[[#This Row],[%Real]]&lt;TB_Cockpit_2026[[#This Row],[%Prev.]],0,IF(AND(TB_Cockpit_2026[[#This Row],[%Prev.]]&lt;&gt;"",TB_Cockpit_2026[[#This Row],[%Real]]=""),0,IF(TB_Cockpit_2026[[#This Row],[%Real]]&gt;=TB_Cockpit_2026[[#This Row],[%Prev.]],2,1))))</f>
        <v>1</v>
      </c>
      <c r="U2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2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2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2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2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2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5" s="43">
        <v>1</v>
      </c>
      <c r="AH25" s="17">
        <v>3</v>
      </c>
      <c r="AI25" s="17">
        <v>2</v>
      </c>
      <c r="AJ25" s="17">
        <v>2</v>
      </c>
      <c r="AK25" s="18">
        <f>+(TB_Cockpit_2026[[#This Row],[Encantar os Clientes]]*$AH$10)+(TB_Cockpit_2026[[#This Row],[Capital com Foco]]*$AJ$10)+(TB_Cockpit_2026[[#This Row],[Alta Rentabilidade]]*$AI$10)+IF(TB_Cockpit_2026[[#This Row],[u]]="u",4,0)</f>
        <v>10</v>
      </c>
      <c r="AL25" s="19">
        <v>3</v>
      </c>
      <c r="AM25" s="20">
        <v>2</v>
      </c>
      <c r="AN25" s="20">
        <v>2</v>
      </c>
      <c r="AO25" s="20">
        <v>2</v>
      </c>
      <c r="AP25" s="20">
        <v>2</v>
      </c>
      <c r="AQ25" s="21">
        <f>SUM(TB_Cockpit_2026[[#This Row],[K1]:[K5]])</f>
        <v>11</v>
      </c>
      <c r="AR25" s="27">
        <f>+TB_Cockpit_2026[[#This Row],[Relev.]]+TB_Cockpit_2026[[#This Row],[SCORE]]</f>
        <v>21</v>
      </c>
      <c r="AS2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25" s="39"/>
      <c r="AU25" s="184" t="s">
        <v>107</v>
      </c>
    </row>
    <row r="26" spans="2:47" ht="18" hidden="1" x14ac:dyDescent="0.2">
      <c r="B26" s="139" t="s">
        <v>108</v>
      </c>
      <c r="C26" s="140"/>
      <c r="D26" s="141">
        <v>1</v>
      </c>
      <c r="E26" s="181" t="s">
        <v>109</v>
      </c>
      <c r="F26" s="142" t="s">
        <v>0</v>
      </c>
      <c r="G26" s="143" t="s">
        <v>77</v>
      </c>
      <c r="H26" s="142" t="s">
        <v>65</v>
      </c>
      <c r="I26" s="152" t="s">
        <v>66</v>
      </c>
      <c r="J26" s="144" t="s">
        <v>67</v>
      </c>
      <c r="K26" s="35">
        <v>0</v>
      </c>
      <c r="L26" s="145">
        <v>8000</v>
      </c>
      <c r="M26" s="35">
        <v>0</v>
      </c>
      <c r="N26" s="145">
        <v>4000</v>
      </c>
      <c r="O26" s="146">
        <v>4</v>
      </c>
      <c r="P26" s="147">
        <v>46027</v>
      </c>
      <c r="Q26" s="148">
        <f>+IF(OR(TB_Cockpit_2026[[#This Row],[SPRINT]]="",TB_Cockpit_2026[[#This Row],[SPRINT]]=0),"",TB_Cockpit_2026[[#This Row],[Dt. INÍCIO]]+(TB_Cockpit_2026[[#This Row],[SPRINT]]*15))</f>
        <v>46087</v>
      </c>
      <c r="R26" s="149">
        <f ca="1">+IF(TB_Cockpit_2026[[#This Row],[Dt. INÍCIO]]&lt;&gt;"",IF(TB_Cockpit_2026[[#This Row],[Dt. INÍCIO]]&gt;TODAY(),0,(TODAY()-TB_Cockpit_2026[[#This Row],[Dt. INÍCIO]])/(TB_Cockpit_2026[[#This Row],[TÉRMINO]]-TB_Cockpit_2026[[#This Row],[Dt. INÍCIO]])),"")</f>
        <v>0</v>
      </c>
      <c r="S26" s="150">
        <v>0.5</v>
      </c>
      <c r="T26" s="40">
        <f ca="1">+IF(TB_Cockpit_2026[[#This Row],[%Prev.]]=0,1,IF(TB_Cockpit_2026[[#This Row],[%Real]]&lt;TB_Cockpit_2026[[#This Row],[%Prev.]],0,IF(AND(TB_Cockpit_2026[[#This Row],[%Prev.]]&lt;&gt;"",TB_Cockpit_2026[[#This Row],[%Real]]=""),0,IF(TB_Cockpit_2026[[#This Row],[%Real]]&gt;=TB_Cockpit_2026[[#This Row],[%Prev.]],2,1))))</f>
        <v>1</v>
      </c>
      <c r="U2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2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2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2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6" s="43">
        <v>1</v>
      </c>
      <c r="AH26" s="17">
        <v>2</v>
      </c>
      <c r="AI26" s="17">
        <v>4</v>
      </c>
      <c r="AJ26" s="17">
        <v>4</v>
      </c>
      <c r="AK26" s="18">
        <f>+(TB_Cockpit_2026[[#This Row],[Encantar os Clientes]]*$AH$10)+(TB_Cockpit_2026[[#This Row],[Capital com Foco]]*$AJ$10)+(TB_Cockpit_2026[[#This Row],[Alta Rentabilidade]]*$AI$10)+IF(TB_Cockpit_2026[[#This Row],[u]]="u",4,0)</f>
        <v>12</v>
      </c>
      <c r="AL26" s="19">
        <v>4</v>
      </c>
      <c r="AM26" s="20">
        <v>1</v>
      </c>
      <c r="AN26" s="20">
        <v>4</v>
      </c>
      <c r="AO26" s="20">
        <v>2</v>
      </c>
      <c r="AP26" s="20">
        <v>3</v>
      </c>
      <c r="AQ26" s="21">
        <f>SUM(TB_Cockpit_2026[[#This Row],[K1]:[K5]])</f>
        <v>14</v>
      </c>
      <c r="AR26" s="27">
        <f>+TB_Cockpit_2026[[#This Row],[Relev.]]+TB_Cockpit_2026[[#This Row],[SCORE]]</f>
        <v>26</v>
      </c>
      <c r="AS2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26" s="39"/>
      <c r="AU26" s="184" t="s">
        <v>110</v>
      </c>
    </row>
    <row r="27" spans="2:47" ht="18" hidden="1" x14ac:dyDescent="0.2">
      <c r="B27" s="139" t="s">
        <v>111</v>
      </c>
      <c r="C27" s="140"/>
      <c r="D27" s="141">
        <v>1</v>
      </c>
      <c r="E27" s="142" t="s">
        <v>112</v>
      </c>
      <c r="F27" s="142" t="s">
        <v>0</v>
      </c>
      <c r="G27" s="143" t="s">
        <v>77</v>
      </c>
      <c r="H27" s="142" t="s">
        <v>70</v>
      </c>
      <c r="I27" s="152" t="s">
        <v>66</v>
      </c>
      <c r="J27" s="144" t="s">
        <v>67</v>
      </c>
      <c r="K27" s="35">
        <v>0</v>
      </c>
      <c r="L27" s="145">
        <v>20000</v>
      </c>
      <c r="M27" s="35">
        <v>0</v>
      </c>
      <c r="N27" s="145">
        <v>60000</v>
      </c>
      <c r="O27" s="146">
        <v>6</v>
      </c>
      <c r="P27" s="147">
        <v>46271</v>
      </c>
      <c r="Q27" s="148">
        <f>+IF(OR(TB_Cockpit_2026[[#This Row],[SPRINT]]="",TB_Cockpit_2026[[#This Row],[SPRINT]]=0),"",TB_Cockpit_2026[[#This Row],[Dt. INÍCIO]]+(TB_Cockpit_2026[[#This Row],[SPRINT]]*15))</f>
        <v>46361</v>
      </c>
      <c r="R27" s="149">
        <f ca="1">+IF(TB_Cockpit_2026[[#This Row],[Dt. INÍCIO]]&lt;&gt;"",IF(TB_Cockpit_2026[[#This Row],[Dt. INÍCIO]]&gt;TODAY(),0,(TODAY()-TB_Cockpit_2026[[#This Row],[Dt. INÍCIO]])/(TB_Cockpit_2026[[#This Row],[TÉRMINO]]-TB_Cockpit_2026[[#This Row],[Dt. INÍCIO]])),"")</f>
        <v>0</v>
      </c>
      <c r="S27" s="150"/>
      <c r="T27" s="40">
        <f ca="1">+IF(TB_Cockpit_2026[[#This Row],[%Prev.]]=0,1,IF(TB_Cockpit_2026[[#This Row],[%Real]]&lt;TB_Cockpit_2026[[#This Row],[%Prev.]],0,IF(AND(TB_Cockpit_2026[[#This Row],[%Prev.]]&lt;&gt;"",TB_Cockpit_2026[[#This Row],[%Real]]=""),0,IF(TB_Cockpit_2026[[#This Row],[%Real]]&gt;=TB_Cockpit_2026[[#This Row],[%Prev.]],2,1))))</f>
        <v>1</v>
      </c>
      <c r="U2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2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2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2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2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2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27" s="43">
        <v>1</v>
      </c>
      <c r="AH27" s="17">
        <v>2</v>
      </c>
      <c r="AI27" s="17">
        <v>2</v>
      </c>
      <c r="AJ27" s="17">
        <v>2</v>
      </c>
      <c r="AK27" s="18">
        <f>+(TB_Cockpit_2026[[#This Row],[Encantar os Clientes]]*$AH$10)+(TB_Cockpit_2026[[#This Row],[Capital com Foco]]*$AJ$10)+(TB_Cockpit_2026[[#This Row],[Alta Rentabilidade]]*$AI$10)+IF(TB_Cockpit_2026[[#This Row],[u]]="u",4,0)</f>
        <v>8</v>
      </c>
      <c r="AL27" s="19">
        <v>2</v>
      </c>
      <c r="AM27" s="20">
        <v>2</v>
      </c>
      <c r="AN27" s="20">
        <v>2</v>
      </c>
      <c r="AO27" s="20">
        <v>2</v>
      </c>
      <c r="AP27" s="20">
        <v>2</v>
      </c>
      <c r="AQ27" s="21">
        <f>SUM(TB_Cockpit_2026[[#This Row],[K1]:[K5]])</f>
        <v>10</v>
      </c>
      <c r="AR27" s="27">
        <f>+TB_Cockpit_2026[[#This Row],[Relev.]]+TB_Cockpit_2026[[#This Row],[SCORE]]</f>
        <v>18</v>
      </c>
      <c r="AS2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27" s="39"/>
      <c r="AU27" s="184" t="s">
        <v>113</v>
      </c>
    </row>
    <row r="28" spans="2:47" ht="18" hidden="1" x14ac:dyDescent="0.2">
      <c r="B28" s="139" t="s">
        <v>114</v>
      </c>
      <c r="C28" s="140"/>
      <c r="D28" s="141">
        <v>1</v>
      </c>
      <c r="E28" s="181" t="s">
        <v>115</v>
      </c>
      <c r="F28" s="142" t="s">
        <v>0</v>
      </c>
      <c r="G28" s="143" t="s">
        <v>77</v>
      </c>
      <c r="H28" s="142" t="s">
        <v>65</v>
      </c>
      <c r="I28" s="144" t="s">
        <v>66</v>
      </c>
      <c r="J28" s="144" t="s">
        <v>67</v>
      </c>
      <c r="K28" s="35">
        <v>0</v>
      </c>
      <c r="L28" s="145">
        <v>5000</v>
      </c>
      <c r="M28" s="35">
        <v>0</v>
      </c>
      <c r="N28" s="145">
        <v>100000</v>
      </c>
      <c r="O28" s="146">
        <v>4</v>
      </c>
      <c r="P28" s="147">
        <v>46024</v>
      </c>
      <c r="Q28" s="148">
        <f>+IF(OR(TB_Cockpit_2026[[#This Row],[SPRINT]]="",TB_Cockpit_2026[[#This Row],[SPRINT]]=0),"",TB_Cockpit_2026[[#This Row],[Dt. INÍCIO]]+(TB_Cockpit_2026[[#This Row],[SPRINT]]*15))</f>
        <v>46084</v>
      </c>
      <c r="R28" s="149">
        <f ca="1">+IF(TB_Cockpit_2026[[#This Row],[Dt. INÍCIO]]&lt;&gt;"",IF(TB_Cockpit_2026[[#This Row],[Dt. INÍCIO]]&gt;TODAY(),0,(TODAY()-TB_Cockpit_2026[[#This Row],[Dt. INÍCIO]])/(TB_Cockpit_2026[[#This Row],[TÉRMINO]]-TB_Cockpit_2026[[#This Row],[Dt. INÍCIO]])),"")</f>
        <v>0</v>
      </c>
      <c r="S28" s="150">
        <v>0.3</v>
      </c>
      <c r="T28" s="40">
        <f ca="1">+IF(TB_Cockpit_2026[[#This Row],[%Prev.]]=0,1,IF(TB_Cockpit_2026[[#This Row],[%Real]]&lt;TB_Cockpit_2026[[#This Row],[%Prev.]],0,IF(AND(TB_Cockpit_2026[[#This Row],[%Prev.]]&lt;&gt;"",TB_Cockpit_2026[[#This Row],[%Real]]=""),0,IF(TB_Cockpit_2026[[#This Row],[%Real]]&gt;=TB_Cockpit_2026[[#This Row],[%Prev.]],2,1))))</f>
        <v>1</v>
      </c>
      <c r="U2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2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2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2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8" s="43">
        <v>1</v>
      </c>
      <c r="AH28" s="17">
        <v>4</v>
      </c>
      <c r="AI28" s="17">
        <v>4</v>
      </c>
      <c r="AJ28" s="17">
        <v>4</v>
      </c>
      <c r="AK28" s="18">
        <f>+(TB_Cockpit_2026[[#This Row],[Encantar os Clientes]]*$AH$10)+(TB_Cockpit_2026[[#This Row],[Capital com Foco]]*$AJ$10)+(TB_Cockpit_2026[[#This Row],[Alta Rentabilidade]]*$AI$10)+IF(TB_Cockpit_2026[[#This Row],[u]]="u",4,0)</f>
        <v>16</v>
      </c>
      <c r="AL28" s="19">
        <v>2</v>
      </c>
      <c r="AM28" s="20">
        <v>0</v>
      </c>
      <c r="AN28" s="20">
        <v>4</v>
      </c>
      <c r="AO28" s="20">
        <v>0</v>
      </c>
      <c r="AP28" s="20">
        <v>4</v>
      </c>
      <c r="AQ28" s="21">
        <f>SUM(TB_Cockpit_2026[[#This Row],[K1]:[K5]])</f>
        <v>10</v>
      </c>
      <c r="AR28" s="27">
        <f>+TB_Cockpit_2026[[#This Row],[Relev.]]+TB_Cockpit_2026[[#This Row],[SCORE]]</f>
        <v>26</v>
      </c>
      <c r="AS2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28" s="39"/>
      <c r="AU28" s="184" t="s">
        <v>116</v>
      </c>
    </row>
    <row r="29" spans="2:47" ht="18" hidden="1" x14ac:dyDescent="0.2">
      <c r="B29" s="139" t="s">
        <v>117</v>
      </c>
      <c r="C29" s="140"/>
      <c r="D29" s="141">
        <v>1</v>
      </c>
      <c r="E29" s="181" t="s">
        <v>118</v>
      </c>
      <c r="F29" s="142" t="s">
        <v>0</v>
      </c>
      <c r="G29" s="143" t="s">
        <v>64</v>
      </c>
      <c r="H29" s="142" t="s">
        <v>78</v>
      </c>
      <c r="I29" s="144" t="s">
        <v>66</v>
      </c>
      <c r="J29" s="144" t="s">
        <v>67</v>
      </c>
      <c r="K29" s="35">
        <v>0</v>
      </c>
      <c r="L29" s="145">
        <v>5000</v>
      </c>
      <c r="M29" s="35">
        <v>0</v>
      </c>
      <c r="N29" s="145">
        <v>1000</v>
      </c>
      <c r="O29" s="146">
        <v>3</v>
      </c>
      <c r="P29" s="147">
        <v>46024</v>
      </c>
      <c r="Q29" s="148">
        <f>+IF(OR(TB_Cockpit_2026[[#This Row],[SPRINT]]="",TB_Cockpit_2026[[#This Row],[SPRINT]]=0),"",TB_Cockpit_2026[[#This Row],[Dt. INÍCIO]]+(TB_Cockpit_2026[[#This Row],[SPRINT]]*15))</f>
        <v>46069</v>
      </c>
      <c r="R29" s="149">
        <f ca="1">+IF(TB_Cockpit_2026[[#This Row],[Dt. INÍCIO]]&lt;&gt;"",IF(TB_Cockpit_2026[[#This Row],[Dt. INÍCIO]]&gt;TODAY(),0,(TODAY()-TB_Cockpit_2026[[#This Row],[Dt. INÍCIO]])/(TB_Cockpit_2026[[#This Row],[TÉRMINO]]-TB_Cockpit_2026[[#This Row],[Dt. INÍCIO]])),"")</f>
        <v>0</v>
      </c>
      <c r="S29" s="150">
        <v>0.1</v>
      </c>
      <c r="T29" s="40">
        <f ca="1">+IF(TB_Cockpit_2026[[#This Row],[%Prev.]]=0,1,IF(TB_Cockpit_2026[[#This Row],[%Real]]&lt;TB_Cockpit_2026[[#This Row],[%Prev.]],0,IF(AND(TB_Cockpit_2026[[#This Row],[%Prev.]]&lt;&gt;"",TB_Cockpit_2026[[#This Row],[%Real]]=""),0,IF(TB_Cockpit_2026[[#This Row],[%Real]]&gt;=TB_Cockpit_2026[[#This Row],[%Prev.]],2,1))))</f>
        <v>1</v>
      </c>
      <c r="U2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2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2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2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2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2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2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2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2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2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2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2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29" s="43">
        <v>1</v>
      </c>
      <c r="AH29" s="17">
        <v>4</v>
      </c>
      <c r="AI29" s="17">
        <v>1</v>
      </c>
      <c r="AJ29" s="17">
        <v>1</v>
      </c>
      <c r="AK29" s="18">
        <f>+(TB_Cockpit_2026[[#This Row],[Encantar os Clientes]]*$AH$10)+(TB_Cockpit_2026[[#This Row],[Capital com Foco]]*$AJ$10)+(TB_Cockpit_2026[[#This Row],[Alta Rentabilidade]]*$AI$10)+IF(TB_Cockpit_2026[[#This Row],[u]]="u",4,0)</f>
        <v>10</v>
      </c>
      <c r="AL29" s="19">
        <v>1</v>
      </c>
      <c r="AM29" s="20">
        <v>0</v>
      </c>
      <c r="AN29" s="20">
        <v>3</v>
      </c>
      <c r="AO29" s="20">
        <v>0</v>
      </c>
      <c r="AP29" s="20">
        <v>4</v>
      </c>
      <c r="AQ29" s="21">
        <f>SUM(TB_Cockpit_2026[[#This Row],[K1]:[K5]])</f>
        <v>8</v>
      </c>
      <c r="AR29" s="27">
        <f>+TB_Cockpit_2026[[#This Row],[Relev.]]+TB_Cockpit_2026[[#This Row],[SCORE]]</f>
        <v>18</v>
      </c>
      <c r="AS2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29" s="39"/>
      <c r="AU29" s="184" t="s">
        <v>119</v>
      </c>
    </row>
    <row r="30" spans="2:47" ht="18" hidden="1" x14ac:dyDescent="0.2">
      <c r="B30" s="139" t="s">
        <v>120</v>
      </c>
      <c r="C30" s="140"/>
      <c r="D30" s="141">
        <v>1</v>
      </c>
      <c r="E30" s="181" t="s">
        <v>121</v>
      </c>
      <c r="F30" s="142" t="s">
        <v>2</v>
      </c>
      <c r="G30" s="143" t="s">
        <v>64</v>
      </c>
      <c r="H30" s="142" t="s">
        <v>78</v>
      </c>
      <c r="I30" s="144" t="s">
        <v>66</v>
      </c>
      <c r="J30" s="144" t="s">
        <v>67</v>
      </c>
      <c r="K30" s="35">
        <v>0</v>
      </c>
      <c r="L30" s="145">
        <v>5000</v>
      </c>
      <c r="M30" s="35">
        <v>0</v>
      </c>
      <c r="N30" s="145">
        <v>1000</v>
      </c>
      <c r="O30" s="146">
        <v>4</v>
      </c>
      <c r="P30" s="147">
        <v>46024</v>
      </c>
      <c r="Q30" s="148">
        <f>+IF(OR(TB_Cockpit_2026[[#This Row],[SPRINT]]="",TB_Cockpit_2026[[#This Row],[SPRINT]]=0),"",TB_Cockpit_2026[[#This Row],[Dt. INÍCIO]]+(TB_Cockpit_2026[[#This Row],[SPRINT]]*15))</f>
        <v>46084</v>
      </c>
      <c r="R30" s="149">
        <f ca="1">+IF(TB_Cockpit_2026[[#This Row],[Dt. INÍCIO]]&lt;&gt;"",IF(TB_Cockpit_2026[[#This Row],[Dt. INÍCIO]]&gt;TODAY(),0,(TODAY()-TB_Cockpit_2026[[#This Row],[Dt. INÍCIO]])/(TB_Cockpit_2026[[#This Row],[TÉRMINO]]-TB_Cockpit_2026[[#This Row],[Dt. INÍCIO]])),"")</f>
        <v>0</v>
      </c>
      <c r="S30" s="150">
        <v>0.4</v>
      </c>
      <c r="T30" s="40">
        <f ca="1">+IF(TB_Cockpit_2026[[#This Row],[%Prev.]]=0,1,IF(TB_Cockpit_2026[[#This Row],[%Real]]&lt;TB_Cockpit_2026[[#This Row],[%Prev.]],0,IF(AND(TB_Cockpit_2026[[#This Row],[%Prev.]]&lt;&gt;"",TB_Cockpit_2026[[#This Row],[%Real]]=""),0,IF(TB_Cockpit_2026[[#This Row],[%Real]]&gt;=TB_Cockpit_2026[[#This Row],[%Prev.]],2,1))))</f>
        <v>1</v>
      </c>
      <c r="U3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3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0" s="43">
        <v>2</v>
      </c>
      <c r="AH30" s="17">
        <v>2</v>
      </c>
      <c r="AI30" s="17">
        <v>2</v>
      </c>
      <c r="AJ30" s="17">
        <v>1</v>
      </c>
      <c r="AK30" s="18">
        <f>+(TB_Cockpit_2026[[#This Row],[Encantar os Clientes]]*$AH$10)+(TB_Cockpit_2026[[#This Row],[Capital com Foco]]*$AJ$10)+(TB_Cockpit_2026[[#This Row],[Alta Rentabilidade]]*$AI$10)+IF(TB_Cockpit_2026[[#This Row],[u]]="u",4,0)</f>
        <v>7</v>
      </c>
      <c r="AL30" s="19">
        <v>2</v>
      </c>
      <c r="AM30" s="20">
        <v>2</v>
      </c>
      <c r="AN30" s="20">
        <v>1</v>
      </c>
      <c r="AO30" s="20">
        <v>4</v>
      </c>
      <c r="AP30" s="20">
        <v>2</v>
      </c>
      <c r="AQ30" s="21">
        <f>SUM(TB_Cockpit_2026[[#This Row],[K1]:[K5]])</f>
        <v>11</v>
      </c>
      <c r="AR30" s="27">
        <f>+TB_Cockpit_2026[[#This Row],[Relev.]]+TB_Cockpit_2026[[#This Row],[SCORE]]</f>
        <v>18</v>
      </c>
      <c r="AS3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30" s="39"/>
      <c r="AU30" s="184" t="s">
        <v>122</v>
      </c>
    </row>
    <row r="31" spans="2:47" ht="19" hidden="1" x14ac:dyDescent="0.2">
      <c r="B31" s="139" t="s">
        <v>123</v>
      </c>
      <c r="C31" s="140" t="s">
        <v>18</v>
      </c>
      <c r="D31" s="141">
        <v>1</v>
      </c>
      <c r="E31" s="181" t="s">
        <v>124</v>
      </c>
      <c r="F31" s="142" t="s">
        <v>0</v>
      </c>
      <c r="G31" s="143" t="s">
        <v>77</v>
      </c>
      <c r="H31" s="142" t="s">
        <v>65</v>
      </c>
      <c r="I31" s="152" t="s">
        <v>66</v>
      </c>
      <c r="J31" s="144" t="s">
        <v>67</v>
      </c>
      <c r="K31" s="35">
        <v>0</v>
      </c>
      <c r="L31" s="145">
        <v>20000</v>
      </c>
      <c r="M31" s="35">
        <v>0</v>
      </c>
      <c r="N31" s="145">
        <v>2000</v>
      </c>
      <c r="O31" s="146">
        <v>24</v>
      </c>
      <c r="P31" s="147">
        <v>46027</v>
      </c>
      <c r="Q31" s="148">
        <f>+IF(OR(TB_Cockpit_2026[[#This Row],[SPRINT]]="",TB_Cockpit_2026[[#This Row],[SPRINT]]=0),"",TB_Cockpit_2026[[#This Row],[Dt. INÍCIO]]+(TB_Cockpit_2026[[#This Row],[SPRINT]]*15))</f>
        <v>46387</v>
      </c>
      <c r="R31" s="149">
        <f ca="1">+IF(TB_Cockpit_2026[[#This Row],[Dt. INÍCIO]]&lt;&gt;"",IF(TB_Cockpit_2026[[#This Row],[Dt. INÍCIO]]&gt;TODAY(),0,(TODAY()-TB_Cockpit_2026[[#This Row],[Dt. INÍCIO]])/(TB_Cockpit_2026[[#This Row],[TÉRMINO]]-TB_Cockpit_2026[[#This Row],[Dt. INÍCIO]])),"")</f>
        <v>0</v>
      </c>
      <c r="S31" s="150">
        <v>0.8</v>
      </c>
      <c r="T31" s="40">
        <f ca="1">+IF(TB_Cockpit_2026[[#This Row],[%Prev.]]=0,1,IF(TB_Cockpit_2026[[#This Row],[%Real]]&lt;TB_Cockpit_2026[[#This Row],[%Prev.]],0,IF(AND(TB_Cockpit_2026[[#This Row],[%Prev.]]&lt;&gt;"",TB_Cockpit_2026[[#This Row],[%Real]]=""),0,IF(TB_Cockpit_2026[[#This Row],[%Real]]&gt;=TB_Cockpit_2026[[#This Row],[%Prev.]],2,1))))</f>
        <v>1</v>
      </c>
      <c r="U31"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1" s="40"/>
      <c r="W31" s="40"/>
      <c r="X31" s="151"/>
      <c r="Y31" s="151"/>
      <c r="Z31" s="40"/>
      <c r="AA31" s="40"/>
      <c r="AB31" s="40"/>
      <c r="AC31" s="40"/>
      <c r="AD31" s="40"/>
      <c r="AE31" s="40"/>
      <c r="AF31" s="41"/>
      <c r="AG31" s="43">
        <v>3</v>
      </c>
      <c r="AH31" s="17">
        <v>4</v>
      </c>
      <c r="AI31" s="17">
        <v>4</v>
      </c>
      <c r="AJ31" s="17">
        <v>4</v>
      </c>
      <c r="AK31" s="18">
        <f>+(TB_Cockpit_2026[[#This Row],[Encantar os Clientes]]*$AH$10)+(TB_Cockpit_2026[[#This Row],[Capital com Foco]]*$AJ$10)+(TB_Cockpit_2026[[#This Row],[Alta Rentabilidade]]*$AI$10)+IF(TB_Cockpit_2026[[#This Row],[u]]="u",4,0)</f>
        <v>20</v>
      </c>
      <c r="AL31" s="19">
        <v>4</v>
      </c>
      <c r="AM31" s="20">
        <v>3</v>
      </c>
      <c r="AN31" s="20">
        <v>4</v>
      </c>
      <c r="AO31" s="20">
        <v>4</v>
      </c>
      <c r="AP31" s="20">
        <v>4</v>
      </c>
      <c r="AQ31" s="21">
        <f>SUM(TB_Cockpit_2026[[#This Row],[K1]:[K5]])</f>
        <v>19</v>
      </c>
      <c r="AR31" s="27">
        <f>+TB_Cockpit_2026[[#This Row],[Relev.]]+TB_Cockpit_2026[[#This Row],[SCORE]]</f>
        <v>39</v>
      </c>
      <c r="AS3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31" s="39"/>
      <c r="AU31" s="184" t="s">
        <v>125</v>
      </c>
    </row>
    <row r="32" spans="2:47" ht="19" hidden="1" x14ac:dyDescent="0.2">
      <c r="B32" s="139" t="s">
        <v>126</v>
      </c>
      <c r="C32" s="140" t="s">
        <v>18</v>
      </c>
      <c r="D32" s="141">
        <v>1</v>
      </c>
      <c r="E32" s="181" t="s">
        <v>127</v>
      </c>
      <c r="F32" s="142" t="s">
        <v>0</v>
      </c>
      <c r="G32" s="143" t="s">
        <v>64</v>
      </c>
      <c r="H32" s="142" t="s">
        <v>65</v>
      </c>
      <c r="I32" s="144" t="s">
        <v>66</v>
      </c>
      <c r="J32" s="144" t="s">
        <v>67</v>
      </c>
      <c r="K32" s="35">
        <v>0</v>
      </c>
      <c r="L32" s="145">
        <v>20000</v>
      </c>
      <c r="M32" s="35">
        <v>0</v>
      </c>
      <c r="N32" s="145">
        <v>2000</v>
      </c>
      <c r="O32" s="146">
        <v>8</v>
      </c>
      <c r="P32" s="147">
        <v>46027</v>
      </c>
      <c r="Q32" s="148">
        <f>+IF(OR(TB_Cockpit_2026[[#This Row],[SPRINT]]="",TB_Cockpit_2026[[#This Row],[SPRINT]]=0),"",TB_Cockpit_2026[[#This Row],[Dt. INÍCIO]]+(TB_Cockpit_2026[[#This Row],[SPRINT]]*15))</f>
        <v>46147</v>
      </c>
      <c r="R32" s="149">
        <f ca="1">+IF(TB_Cockpit_2026[[#This Row],[Dt. INÍCIO]]&lt;&gt;"",IF(TB_Cockpit_2026[[#This Row],[Dt. INÍCIO]]&gt;TODAY(),0,(TODAY()-TB_Cockpit_2026[[#This Row],[Dt. INÍCIO]])/(TB_Cockpit_2026[[#This Row],[TÉRMINO]]-TB_Cockpit_2026[[#This Row],[Dt. INÍCIO]])),"")</f>
        <v>0</v>
      </c>
      <c r="S32" s="150">
        <v>0.5</v>
      </c>
      <c r="T32" s="40">
        <f ca="1">+IF(TB_Cockpit_2026[[#This Row],[%Prev.]]=0,1,IF(TB_Cockpit_2026[[#This Row],[%Real]]&lt;TB_Cockpit_2026[[#This Row],[%Prev.]],0,IF(AND(TB_Cockpit_2026[[#This Row],[%Prev.]]&lt;&gt;"",TB_Cockpit_2026[[#This Row],[%Real]]=""),0,IF(TB_Cockpit_2026[[#This Row],[%Real]]&gt;=TB_Cockpit_2026[[#This Row],[%Prev.]],2,1))))</f>
        <v>1</v>
      </c>
      <c r="U3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3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3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2" s="43">
        <v>3</v>
      </c>
      <c r="AH32" s="17">
        <v>2</v>
      </c>
      <c r="AI32" s="17">
        <v>4</v>
      </c>
      <c r="AJ32" s="17">
        <v>3</v>
      </c>
      <c r="AK32" s="18">
        <f>+(TB_Cockpit_2026[[#This Row],[Encantar os Clientes]]*$AH$10)+(TB_Cockpit_2026[[#This Row],[Capital com Foco]]*$AJ$10)+(TB_Cockpit_2026[[#This Row],[Alta Rentabilidade]]*$AI$10)+IF(TB_Cockpit_2026[[#This Row],[u]]="u",4,0)</f>
        <v>15</v>
      </c>
      <c r="AL32" s="19">
        <v>3</v>
      </c>
      <c r="AM32" s="20">
        <v>3</v>
      </c>
      <c r="AN32" s="20">
        <v>1</v>
      </c>
      <c r="AO32" s="20">
        <v>4</v>
      </c>
      <c r="AP32" s="20">
        <v>1</v>
      </c>
      <c r="AQ32" s="21">
        <f>SUM(TB_Cockpit_2026[[#This Row],[K1]:[K5]])</f>
        <v>12</v>
      </c>
      <c r="AR32" s="27">
        <f>+TB_Cockpit_2026[[#This Row],[Relev.]]+TB_Cockpit_2026[[#This Row],[SCORE]]</f>
        <v>27</v>
      </c>
      <c r="AS3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32" s="39"/>
      <c r="AU32" s="184" t="s">
        <v>128</v>
      </c>
    </row>
    <row r="33" spans="2:47" ht="19" hidden="1" x14ac:dyDescent="0.2">
      <c r="B33" s="139" t="s">
        <v>129</v>
      </c>
      <c r="C33" s="140" t="s">
        <v>18</v>
      </c>
      <c r="D33" s="141">
        <v>1</v>
      </c>
      <c r="E33" s="181" t="s">
        <v>130</v>
      </c>
      <c r="F33" s="142" t="s">
        <v>0</v>
      </c>
      <c r="G33" s="143" t="s">
        <v>64</v>
      </c>
      <c r="H33" s="142" t="s">
        <v>65</v>
      </c>
      <c r="I33" s="144" t="s">
        <v>66</v>
      </c>
      <c r="J33" s="144" t="s">
        <v>67</v>
      </c>
      <c r="K33" s="35">
        <v>0</v>
      </c>
      <c r="L33" s="145">
        <v>18000</v>
      </c>
      <c r="M33" s="35">
        <v>0</v>
      </c>
      <c r="N33" s="145">
        <v>5000</v>
      </c>
      <c r="O33" s="146">
        <v>10</v>
      </c>
      <c r="P33" s="147">
        <v>46024</v>
      </c>
      <c r="Q33" s="148">
        <f>+IF(OR(TB_Cockpit_2026[[#This Row],[SPRINT]]="",TB_Cockpit_2026[[#This Row],[SPRINT]]=0),"",TB_Cockpit_2026[[#This Row],[Dt. INÍCIO]]+(TB_Cockpit_2026[[#This Row],[SPRINT]]*15))</f>
        <v>46174</v>
      </c>
      <c r="R33" s="149">
        <f ca="1">+IF(TB_Cockpit_2026[[#This Row],[Dt. INÍCIO]]&lt;&gt;"",IF(TB_Cockpit_2026[[#This Row],[Dt. INÍCIO]]&gt;TODAY(),0,(TODAY()-TB_Cockpit_2026[[#This Row],[Dt. INÍCIO]])/(TB_Cockpit_2026[[#This Row],[TÉRMINO]]-TB_Cockpit_2026[[#This Row],[Dt. INÍCIO]])),"")</f>
        <v>0</v>
      </c>
      <c r="S33" s="150">
        <v>0.3</v>
      </c>
      <c r="T33" s="40">
        <f ca="1">+IF(TB_Cockpit_2026[[#This Row],[%Prev.]]=0,1,IF(TB_Cockpit_2026[[#This Row],[%Real]]&lt;TB_Cockpit_2026[[#This Row],[%Prev.]],0,IF(AND(TB_Cockpit_2026[[#This Row],[%Prev.]]&lt;&gt;"",TB_Cockpit_2026[[#This Row],[%Real]]=""),0,IF(TB_Cockpit_2026[[#This Row],[%Real]]&gt;=TB_Cockpit_2026[[#This Row],[%Prev.]],2,1))))</f>
        <v>1</v>
      </c>
      <c r="U3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3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3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3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3" s="43">
        <v>1</v>
      </c>
      <c r="AH33" s="17">
        <v>4</v>
      </c>
      <c r="AI33" s="17">
        <v>3</v>
      </c>
      <c r="AJ33" s="17">
        <v>4</v>
      </c>
      <c r="AK33" s="18">
        <f>+(TB_Cockpit_2026[[#This Row],[Encantar os Clientes]]*$AH$10)+(TB_Cockpit_2026[[#This Row],[Capital com Foco]]*$AJ$10)+(TB_Cockpit_2026[[#This Row],[Alta Rentabilidade]]*$AI$10)+IF(TB_Cockpit_2026[[#This Row],[u]]="u",4,0)</f>
        <v>19</v>
      </c>
      <c r="AL33" s="19">
        <v>4</v>
      </c>
      <c r="AM33" s="20">
        <v>1</v>
      </c>
      <c r="AN33" s="20">
        <v>3</v>
      </c>
      <c r="AO33" s="20">
        <v>4</v>
      </c>
      <c r="AP33" s="20">
        <v>4</v>
      </c>
      <c r="AQ33" s="21">
        <f>SUM(TB_Cockpit_2026[[#This Row],[K1]:[K5]])</f>
        <v>16</v>
      </c>
      <c r="AR33" s="27">
        <f>+TB_Cockpit_2026[[#This Row],[Relev.]]+TB_Cockpit_2026[[#This Row],[SCORE]]</f>
        <v>35</v>
      </c>
      <c r="AS3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33" s="39"/>
      <c r="AU33" s="184" t="s">
        <v>131</v>
      </c>
    </row>
    <row r="34" spans="2:47" ht="19" hidden="1" x14ac:dyDescent="0.2">
      <c r="B34" s="139" t="s">
        <v>132</v>
      </c>
      <c r="C34" s="140" t="s">
        <v>18</v>
      </c>
      <c r="D34" s="141">
        <v>1</v>
      </c>
      <c r="E34" s="181" t="s">
        <v>133</v>
      </c>
      <c r="F34" s="142" t="s">
        <v>0</v>
      </c>
      <c r="G34" s="143" t="s">
        <v>77</v>
      </c>
      <c r="H34" s="142" t="s">
        <v>65</v>
      </c>
      <c r="I34" s="144" t="s">
        <v>66</v>
      </c>
      <c r="J34" s="144" t="s">
        <v>67</v>
      </c>
      <c r="K34" s="35">
        <v>0</v>
      </c>
      <c r="L34" s="145">
        <v>10000</v>
      </c>
      <c r="M34" s="35">
        <v>0</v>
      </c>
      <c r="N34" s="145">
        <v>12000</v>
      </c>
      <c r="O34" s="146">
        <v>6</v>
      </c>
      <c r="P34" s="147">
        <v>46027</v>
      </c>
      <c r="Q34" s="148">
        <f>+IF(OR(TB_Cockpit_2026[[#This Row],[SPRINT]]="",TB_Cockpit_2026[[#This Row],[SPRINT]]=0),"",TB_Cockpit_2026[[#This Row],[Dt. INÍCIO]]+(TB_Cockpit_2026[[#This Row],[SPRINT]]*15))</f>
        <v>46117</v>
      </c>
      <c r="R34" s="149">
        <f ca="1">+IF(TB_Cockpit_2026[[#This Row],[Dt. INÍCIO]]&lt;&gt;"",IF(TB_Cockpit_2026[[#This Row],[Dt. INÍCIO]]&gt;TODAY(),0,(TODAY()-TB_Cockpit_2026[[#This Row],[Dt. INÍCIO]])/(TB_Cockpit_2026[[#This Row],[TÉRMINO]]-TB_Cockpit_2026[[#This Row],[Dt. INÍCIO]])),"")</f>
        <v>0</v>
      </c>
      <c r="S34" s="150">
        <v>0.6</v>
      </c>
      <c r="T34" s="40">
        <f ca="1">+IF(TB_Cockpit_2026[[#This Row],[%Prev.]]=0,1,IF(TB_Cockpit_2026[[#This Row],[%Real]]&lt;TB_Cockpit_2026[[#This Row],[%Prev.]],0,IF(AND(TB_Cockpit_2026[[#This Row],[%Prev.]]&lt;&gt;"",TB_Cockpit_2026[[#This Row],[%Real]]=""),0,IF(TB_Cockpit_2026[[#This Row],[%Real]]&gt;=TB_Cockpit_2026[[#This Row],[%Prev.]],2,1))))</f>
        <v>1</v>
      </c>
      <c r="U3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3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4" s="43">
        <v>1</v>
      </c>
      <c r="AH34" s="17">
        <v>4</v>
      </c>
      <c r="AI34" s="17">
        <v>4</v>
      </c>
      <c r="AJ34" s="17">
        <v>4</v>
      </c>
      <c r="AK34" s="18">
        <f>+(TB_Cockpit_2026[[#This Row],[Encantar os Clientes]]*$AH$10)+(TB_Cockpit_2026[[#This Row],[Capital com Foco]]*$AJ$10)+(TB_Cockpit_2026[[#This Row],[Alta Rentabilidade]]*$AI$10)+IF(TB_Cockpit_2026[[#This Row],[u]]="u",4,0)</f>
        <v>20</v>
      </c>
      <c r="AL34" s="19">
        <v>2</v>
      </c>
      <c r="AM34" s="20">
        <v>2</v>
      </c>
      <c r="AN34" s="20">
        <v>2</v>
      </c>
      <c r="AO34" s="20">
        <v>2</v>
      </c>
      <c r="AP34" s="20">
        <v>2</v>
      </c>
      <c r="AQ34" s="21">
        <f>SUM(TB_Cockpit_2026[[#This Row],[K1]:[K5]])</f>
        <v>10</v>
      </c>
      <c r="AR34" s="27">
        <f>+TB_Cockpit_2026[[#This Row],[Relev.]]+TB_Cockpit_2026[[#This Row],[SCORE]]</f>
        <v>30</v>
      </c>
      <c r="AS3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34" s="39"/>
      <c r="AU34" s="184" t="s">
        <v>134</v>
      </c>
    </row>
    <row r="35" spans="2:47" ht="18" hidden="1" x14ac:dyDescent="0.2">
      <c r="B35" s="139" t="s">
        <v>135</v>
      </c>
      <c r="C35" s="140"/>
      <c r="D35" s="141">
        <v>1</v>
      </c>
      <c r="E35" s="142" t="s">
        <v>136</v>
      </c>
      <c r="F35" s="142" t="s">
        <v>2</v>
      </c>
      <c r="G35" s="143" t="s">
        <v>77</v>
      </c>
      <c r="H35" s="142" t="s">
        <v>70</v>
      </c>
      <c r="I35" s="144" t="s">
        <v>66</v>
      </c>
      <c r="J35" s="144" t="s">
        <v>67</v>
      </c>
      <c r="K35" s="35">
        <v>0</v>
      </c>
      <c r="L35" s="145">
        <v>6000</v>
      </c>
      <c r="M35" s="35">
        <v>0</v>
      </c>
      <c r="N35" s="145">
        <v>3000</v>
      </c>
      <c r="O35" s="146">
        <v>4</v>
      </c>
      <c r="P35" s="147">
        <v>46240</v>
      </c>
      <c r="Q35" s="148">
        <f>+IF(OR(TB_Cockpit_2026[[#This Row],[SPRINT]]="",TB_Cockpit_2026[[#This Row],[SPRINT]]=0),"",TB_Cockpit_2026[[#This Row],[Dt. INÍCIO]]+(TB_Cockpit_2026[[#This Row],[SPRINT]]*15))</f>
        <v>46300</v>
      </c>
      <c r="R35" s="149">
        <f ca="1">+IF(TB_Cockpit_2026[[#This Row],[Dt. INÍCIO]]&lt;&gt;"",IF(TB_Cockpit_2026[[#This Row],[Dt. INÍCIO]]&gt;TODAY(),0,(TODAY()-TB_Cockpit_2026[[#This Row],[Dt. INÍCIO]])/(TB_Cockpit_2026[[#This Row],[TÉRMINO]]-TB_Cockpit_2026[[#This Row],[Dt. INÍCIO]])),"")</f>
        <v>0</v>
      </c>
      <c r="S35" s="150"/>
      <c r="T35" s="40">
        <f ca="1">+IF(TB_Cockpit_2026[[#This Row],[%Prev.]]=0,1,IF(TB_Cockpit_2026[[#This Row],[%Real]]&lt;TB_Cockpit_2026[[#This Row],[%Prev.]],0,IF(AND(TB_Cockpit_2026[[#This Row],[%Prev.]]&lt;&gt;"",TB_Cockpit_2026[[#This Row],[%Real]]=""),0,IF(TB_Cockpit_2026[[#This Row],[%Real]]&gt;=TB_Cockpit_2026[[#This Row],[%Prev.]],2,1))))</f>
        <v>1</v>
      </c>
      <c r="U3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3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3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3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3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3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3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3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5" s="43">
        <v>1</v>
      </c>
      <c r="AH35" s="17">
        <v>1</v>
      </c>
      <c r="AI35" s="17">
        <v>1</v>
      </c>
      <c r="AJ35" s="17">
        <v>1</v>
      </c>
      <c r="AK35" s="18">
        <f>+(TB_Cockpit_2026[[#This Row],[Encantar os Clientes]]*$AH$10)+(TB_Cockpit_2026[[#This Row],[Capital com Foco]]*$AJ$10)+(TB_Cockpit_2026[[#This Row],[Alta Rentabilidade]]*$AI$10)+IF(TB_Cockpit_2026[[#This Row],[u]]="u",4,0)</f>
        <v>4</v>
      </c>
      <c r="AL35" s="19">
        <v>1</v>
      </c>
      <c r="AM35" s="20">
        <v>1</v>
      </c>
      <c r="AN35" s="20">
        <v>1</v>
      </c>
      <c r="AO35" s="20">
        <v>3</v>
      </c>
      <c r="AP35" s="20">
        <v>1</v>
      </c>
      <c r="AQ35" s="21">
        <f>SUM(TB_Cockpit_2026[[#This Row],[K1]:[K5]])</f>
        <v>7</v>
      </c>
      <c r="AR35" s="27">
        <f>+TB_Cockpit_2026[[#This Row],[Relev.]]+TB_Cockpit_2026[[#This Row],[SCORE]]</f>
        <v>11</v>
      </c>
      <c r="AS3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35" s="39"/>
      <c r="AU35" s="184" t="s">
        <v>137</v>
      </c>
    </row>
    <row r="36" spans="2:47" ht="18" hidden="1" x14ac:dyDescent="0.2">
      <c r="B36" s="139" t="s">
        <v>138</v>
      </c>
      <c r="C36" s="140"/>
      <c r="D36" s="141">
        <v>1</v>
      </c>
      <c r="E36" s="181" t="s">
        <v>139</v>
      </c>
      <c r="F36" s="142" t="s">
        <v>0</v>
      </c>
      <c r="G36" s="143" t="s">
        <v>77</v>
      </c>
      <c r="H36" s="142" t="s">
        <v>65</v>
      </c>
      <c r="I36" s="144" t="s">
        <v>66</v>
      </c>
      <c r="J36" s="144" t="s">
        <v>67</v>
      </c>
      <c r="K36" s="35">
        <v>0</v>
      </c>
      <c r="L36" s="145">
        <v>10000</v>
      </c>
      <c r="M36" s="35">
        <v>0</v>
      </c>
      <c r="N36" s="145">
        <v>3000</v>
      </c>
      <c r="O36" s="146">
        <v>5</v>
      </c>
      <c r="P36" s="147">
        <v>46083</v>
      </c>
      <c r="Q36" s="148">
        <f>+IF(OR(TB_Cockpit_2026[[#This Row],[SPRINT]]="",TB_Cockpit_2026[[#This Row],[SPRINT]]=0),"",TB_Cockpit_2026[[#This Row],[Dt. INÍCIO]]+(TB_Cockpit_2026[[#This Row],[SPRINT]]*15))</f>
        <v>46158</v>
      </c>
      <c r="R36" s="149">
        <f ca="1">+IF(TB_Cockpit_2026[[#This Row],[Dt. INÍCIO]]&lt;&gt;"",IF(TB_Cockpit_2026[[#This Row],[Dt. INÍCIO]]&gt;TODAY(),0,(TODAY()-TB_Cockpit_2026[[#This Row],[Dt. INÍCIO]])/(TB_Cockpit_2026[[#This Row],[TÉRMINO]]-TB_Cockpit_2026[[#This Row],[Dt. INÍCIO]])),"")</f>
        <v>0</v>
      </c>
      <c r="S36" s="150"/>
      <c r="T36" s="40">
        <f ca="1">+IF(TB_Cockpit_2026[[#This Row],[%Prev.]]=0,1,IF(TB_Cockpit_2026[[#This Row],[%Real]]&lt;TB_Cockpit_2026[[#This Row],[%Prev.]],0,IF(AND(TB_Cockpit_2026[[#This Row],[%Prev.]]&lt;&gt;"",TB_Cockpit_2026[[#This Row],[%Real]]=""),0,IF(TB_Cockpit_2026[[#This Row],[%Real]]&gt;=TB_Cockpit_2026[[#This Row],[%Prev.]],2,1))))</f>
        <v>1</v>
      </c>
      <c r="U3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3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3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3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3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6" s="43">
        <v>1</v>
      </c>
      <c r="AH36" s="17">
        <v>4</v>
      </c>
      <c r="AI36" s="17">
        <v>2</v>
      </c>
      <c r="AJ36" s="17">
        <v>3</v>
      </c>
      <c r="AK36" s="18">
        <f>+(TB_Cockpit_2026[[#This Row],[Encantar os Clientes]]*$AH$10)+(TB_Cockpit_2026[[#This Row],[Capital com Foco]]*$AJ$10)+(TB_Cockpit_2026[[#This Row],[Alta Rentabilidade]]*$AI$10)+IF(TB_Cockpit_2026[[#This Row],[u]]="u",4,0)</f>
        <v>13</v>
      </c>
      <c r="AL36" s="19">
        <v>4</v>
      </c>
      <c r="AM36" s="20">
        <v>0</v>
      </c>
      <c r="AN36" s="20">
        <v>2</v>
      </c>
      <c r="AO36" s="20">
        <v>2</v>
      </c>
      <c r="AP36" s="20">
        <v>3</v>
      </c>
      <c r="AQ36" s="21">
        <f>SUM(TB_Cockpit_2026[[#This Row],[K1]:[K5]])</f>
        <v>11</v>
      </c>
      <c r="AR36" s="27">
        <f>+TB_Cockpit_2026[[#This Row],[Relev.]]+TB_Cockpit_2026[[#This Row],[SCORE]]</f>
        <v>24</v>
      </c>
      <c r="AS3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36" s="39"/>
      <c r="AU36" s="184" t="s">
        <v>140</v>
      </c>
    </row>
    <row r="37" spans="2:47" ht="19" hidden="1" x14ac:dyDescent="0.2">
      <c r="B37" s="139" t="s">
        <v>141</v>
      </c>
      <c r="C37" s="140" t="s">
        <v>18</v>
      </c>
      <c r="D37" s="141">
        <v>1</v>
      </c>
      <c r="E37" s="181" t="s">
        <v>142</v>
      </c>
      <c r="F37" s="142" t="s">
        <v>0</v>
      </c>
      <c r="G37" s="143" t="s">
        <v>77</v>
      </c>
      <c r="H37" s="142" t="s">
        <v>70</v>
      </c>
      <c r="I37" s="152" t="s">
        <v>66</v>
      </c>
      <c r="J37" s="144" t="s">
        <v>67</v>
      </c>
      <c r="K37" s="35">
        <v>0</v>
      </c>
      <c r="L37" s="145">
        <f>+IF(K37=0,0,IF(K37=1,Apoio!$H$2,IF(K37=2,Apoio!$H$3,IF(K37=3,Apoio!$H$4,IF(K37=4,Apoio!$H$5,0)))))</f>
        <v>0</v>
      </c>
      <c r="M37" s="35">
        <v>0</v>
      </c>
      <c r="N37" s="145">
        <f>+IF(M37=0,0,IF(M37=1,Apoio!$L$2,IF(M37=2,Apoio!$L$3,IF(M37=3,Apoio!$L$4,IF(M37=4,Apoio!$L$5,0)))))</f>
        <v>0</v>
      </c>
      <c r="O37" s="146">
        <v>5</v>
      </c>
      <c r="P37" s="147">
        <v>46023</v>
      </c>
      <c r="Q37" s="148">
        <f>+IF(OR(TB_Cockpit_2026[[#This Row],[SPRINT]]="",TB_Cockpit_2026[[#This Row],[SPRINT]]=0),"",TB_Cockpit_2026[[#This Row],[Dt. INÍCIO]]+(TB_Cockpit_2026[[#This Row],[SPRINT]]*15))</f>
        <v>46098</v>
      </c>
      <c r="R37" s="149">
        <f ca="1">+IF(TB_Cockpit_2026[[#This Row],[Dt. INÍCIO]]&lt;&gt;"",IF(TB_Cockpit_2026[[#This Row],[Dt. INÍCIO]]&gt;TODAY(),0,(TODAY()-TB_Cockpit_2026[[#This Row],[Dt. INÍCIO]])/(TB_Cockpit_2026[[#This Row],[TÉRMINO]]-TB_Cockpit_2026[[#This Row],[Dt. INÍCIO]])),"")</f>
        <v>0</v>
      </c>
      <c r="S37" s="150">
        <v>0.1</v>
      </c>
      <c r="T37" s="40">
        <f ca="1">+IF(TB_Cockpit_2026[[#This Row],[%Prev.]]=0,1,IF(TB_Cockpit_2026[[#This Row],[%Real]]&lt;TB_Cockpit_2026[[#This Row],[%Prev.]],0,IF(AND(TB_Cockpit_2026[[#This Row],[%Prev.]]&lt;&gt;"",TB_Cockpit_2026[[#This Row],[%Real]]=""),0,IF(TB_Cockpit_2026[[#This Row],[%Real]]&gt;=TB_Cockpit_2026[[#This Row],[%Prev.]],2,1))))</f>
        <v>1</v>
      </c>
      <c r="U37" s="128"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7" s="128"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7" s="128"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3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3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7" s="128"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7" s="128"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7" s="128"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7" s="128"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7" s="128"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7" s="128"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7" s="129"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7" s="43">
        <v>0</v>
      </c>
      <c r="AH37" s="35">
        <v>3</v>
      </c>
      <c r="AI37" s="35">
        <v>3</v>
      </c>
      <c r="AJ37" s="35">
        <v>3</v>
      </c>
      <c r="AK37" s="130">
        <f>+(TB_Cockpit_2026[[#This Row],[Encantar os Clientes]]*$AH$10)+(TB_Cockpit_2026[[#This Row],[Capital com Foco]]*$AJ$10)+(TB_Cockpit_2026[[#This Row],[Alta Rentabilidade]]*$AI$10)+IF(TB_Cockpit_2026[[#This Row],[u]]="u",4,0)</f>
        <v>16</v>
      </c>
      <c r="AL37" s="131">
        <v>3</v>
      </c>
      <c r="AM37" s="35">
        <v>3</v>
      </c>
      <c r="AN37" s="35">
        <v>3</v>
      </c>
      <c r="AO37" s="35">
        <v>3</v>
      </c>
      <c r="AP37" s="35">
        <v>3</v>
      </c>
      <c r="AQ37" s="21">
        <f>SUM(TB_Cockpit_2026[[#This Row],[K1]:[K5]])</f>
        <v>15</v>
      </c>
      <c r="AR37" s="27">
        <f>+TB_Cockpit_2026[[#This Row],[Relev.]]+TB_Cockpit_2026[[#This Row],[SCORE]]</f>
        <v>31</v>
      </c>
      <c r="AS3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37" s="39"/>
      <c r="AU37" s="184"/>
    </row>
    <row r="38" spans="2:47" ht="18" hidden="1" x14ac:dyDescent="0.2">
      <c r="B38" s="139" t="s">
        <v>143</v>
      </c>
      <c r="C38" s="140"/>
      <c r="D38" s="141">
        <v>1</v>
      </c>
      <c r="E38" s="142" t="s">
        <v>144</v>
      </c>
      <c r="F38" s="142" t="s">
        <v>2</v>
      </c>
      <c r="G38" s="143" t="s">
        <v>77</v>
      </c>
      <c r="H38" s="142" t="s">
        <v>65</v>
      </c>
      <c r="I38" s="144" t="s">
        <v>66</v>
      </c>
      <c r="J38" s="144" t="s">
        <v>67</v>
      </c>
      <c r="K38" s="35">
        <v>0</v>
      </c>
      <c r="L38" s="145">
        <v>8000</v>
      </c>
      <c r="M38" s="35">
        <v>0</v>
      </c>
      <c r="N38" s="145">
        <v>2000</v>
      </c>
      <c r="O38" s="146">
        <v>6</v>
      </c>
      <c r="P38" s="147">
        <v>46240</v>
      </c>
      <c r="Q38" s="148">
        <f>+IF(OR(TB_Cockpit_2026[[#This Row],[SPRINT]]="",TB_Cockpit_2026[[#This Row],[SPRINT]]=0),"",TB_Cockpit_2026[[#This Row],[Dt. INÍCIO]]+(TB_Cockpit_2026[[#This Row],[SPRINT]]*15))</f>
        <v>46330</v>
      </c>
      <c r="R38" s="149">
        <f ca="1">+IF(TB_Cockpit_2026[[#This Row],[Dt. INÍCIO]]&lt;&gt;"",IF(TB_Cockpit_2026[[#This Row],[Dt. INÍCIO]]&gt;TODAY(),0,(TODAY()-TB_Cockpit_2026[[#This Row],[Dt. INÍCIO]])/(TB_Cockpit_2026[[#This Row],[TÉRMINO]]-TB_Cockpit_2026[[#This Row],[Dt. INÍCIO]])),"")</f>
        <v>0</v>
      </c>
      <c r="S38" s="150"/>
      <c r="T38" s="40">
        <f ca="1">+IF(TB_Cockpit_2026[[#This Row],[%Prev.]]=0,1,IF(TB_Cockpit_2026[[#This Row],[%Real]]&lt;TB_Cockpit_2026[[#This Row],[%Prev.]],0,IF(AND(TB_Cockpit_2026[[#This Row],[%Prev.]]&lt;&gt;"",TB_Cockpit_2026[[#This Row],[%Real]]=""),0,IF(TB_Cockpit_2026[[#This Row],[%Real]]&gt;=TB_Cockpit_2026[[#This Row],[%Prev.]],2,1))))</f>
        <v>1</v>
      </c>
      <c r="U3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3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3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3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3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3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3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3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3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8" s="43">
        <v>1</v>
      </c>
      <c r="AH38" s="17">
        <v>1</v>
      </c>
      <c r="AI38" s="17">
        <v>2</v>
      </c>
      <c r="AJ38" s="17">
        <v>1</v>
      </c>
      <c r="AK38" s="18">
        <f>+(TB_Cockpit_2026[[#This Row],[Encantar os Clientes]]*$AH$10)+(TB_Cockpit_2026[[#This Row],[Capital com Foco]]*$AJ$10)+(TB_Cockpit_2026[[#This Row],[Alta Rentabilidade]]*$AI$10)+IF(TB_Cockpit_2026[[#This Row],[u]]="u",4,0)</f>
        <v>5</v>
      </c>
      <c r="AL38" s="19">
        <v>0</v>
      </c>
      <c r="AM38" s="20">
        <v>0</v>
      </c>
      <c r="AN38" s="20">
        <v>0</v>
      </c>
      <c r="AO38" s="20">
        <v>3</v>
      </c>
      <c r="AP38" s="20">
        <v>0</v>
      </c>
      <c r="AQ38" s="21">
        <f>SUM(TB_Cockpit_2026[[#This Row],[K1]:[K5]])</f>
        <v>3</v>
      </c>
      <c r="AR38" s="27">
        <f>+TB_Cockpit_2026[[#This Row],[Relev.]]+TB_Cockpit_2026[[#This Row],[SCORE]]</f>
        <v>8</v>
      </c>
      <c r="AS3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38" s="39"/>
      <c r="AU38" s="184" t="s">
        <v>145</v>
      </c>
    </row>
    <row r="39" spans="2:47" ht="85" hidden="1" x14ac:dyDescent="0.2">
      <c r="B39" s="139" t="s">
        <v>146</v>
      </c>
      <c r="C39" s="140"/>
      <c r="D39" s="141">
        <v>1</v>
      </c>
      <c r="E39" s="181" t="s">
        <v>147</v>
      </c>
      <c r="F39" s="142" t="s">
        <v>0</v>
      </c>
      <c r="G39" s="143" t="s">
        <v>77</v>
      </c>
      <c r="H39" s="142" t="s">
        <v>148</v>
      </c>
      <c r="I39" s="144" t="s">
        <v>149</v>
      </c>
      <c r="J39" s="144" t="s">
        <v>150</v>
      </c>
      <c r="K39" s="35">
        <v>0</v>
      </c>
      <c r="L39" s="145">
        <v>15000</v>
      </c>
      <c r="M39" s="35">
        <v>0</v>
      </c>
      <c r="N39" s="145">
        <v>3000</v>
      </c>
      <c r="O39" s="146">
        <v>2</v>
      </c>
      <c r="P39" s="147">
        <v>46027</v>
      </c>
      <c r="Q39" s="148">
        <f>+IF(OR(TB_Cockpit_2026[[#This Row],[SPRINT]]="",TB_Cockpit_2026[[#This Row],[SPRINT]]=0),"",TB_Cockpit_2026[[#This Row],[Dt. INÍCIO]]+(TB_Cockpit_2026[[#This Row],[SPRINT]]*15))</f>
        <v>46057</v>
      </c>
      <c r="R39" s="149">
        <f ca="1">+IF(TB_Cockpit_2026[[#This Row],[Dt. INÍCIO]]&lt;&gt;"",IF(TB_Cockpit_2026[[#This Row],[Dt. INÍCIO]]&gt;TODAY(),0,(TODAY()-TB_Cockpit_2026[[#This Row],[Dt. INÍCIO]])/(TB_Cockpit_2026[[#This Row],[TÉRMINO]]-TB_Cockpit_2026[[#This Row],[Dt. INÍCIO]])),"")</f>
        <v>0</v>
      </c>
      <c r="S39" s="150"/>
      <c r="T39" s="40">
        <f ca="1">+IF(TB_Cockpit_2026[[#This Row],[%Prev.]]=0,1,IF(TB_Cockpit_2026[[#This Row],[%Real]]&lt;TB_Cockpit_2026[[#This Row],[%Prev.]],0,IF(AND(TB_Cockpit_2026[[#This Row],[%Prev.]]&lt;&gt;"",TB_Cockpit_2026[[#This Row],[%Real]]=""),0,IF(TB_Cockpit_2026[[#This Row],[%Real]]&gt;=TB_Cockpit_2026[[#This Row],[%Prev.]],2,1))))</f>
        <v>1</v>
      </c>
      <c r="U3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3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3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3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3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3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3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3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3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3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3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3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39" s="43">
        <v>1</v>
      </c>
      <c r="AH39" s="17">
        <v>4</v>
      </c>
      <c r="AI39" s="17">
        <v>3</v>
      </c>
      <c r="AJ39" s="17">
        <v>3</v>
      </c>
      <c r="AK39" s="18">
        <f>+(TB_Cockpit_2026[[#This Row],[Encantar os Clientes]]*$AH$10)+(TB_Cockpit_2026[[#This Row],[Capital com Foco]]*$AJ$10)+(TB_Cockpit_2026[[#This Row],[Alta Rentabilidade]]*$AI$10)+IF(TB_Cockpit_2026[[#This Row],[u]]="u",4,0)</f>
        <v>14</v>
      </c>
      <c r="AL39" s="19">
        <v>2</v>
      </c>
      <c r="AM39" s="20">
        <v>0</v>
      </c>
      <c r="AN39" s="20">
        <v>3</v>
      </c>
      <c r="AO39" s="20">
        <v>1</v>
      </c>
      <c r="AP39" s="20">
        <v>4</v>
      </c>
      <c r="AQ39" s="21">
        <f>SUM(TB_Cockpit_2026[[#This Row],[K1]:[K5]])</f>
        <v>10</v>
      </c>
      <c r="AR39" s="27">
        <f>+TB_Cockpit_2026[[#This Row],[Relev.]]+TB_Cockpit_2026[[#This Row],[SCORE]]</f>
        <v>24</v>
      </c>
      <c r="AS3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39" s="39"/>
      <c r="AU39" s="187" t="s">
        <v>151</v>
      </c>
    </row>
    <row r="40" spans="2:47" ht="85" hidden="1" x14ac:dyDescent="0.2">
      <c r="B40" s="139" t="s">
        <v>152</v>
      </c>
      <c r="C40" s="140" t="s">
        <v>18</v>
      </c>
      <c r="D40" s="141">
        <v>1</v>
      </c>
      <c r="E40" s="142" t="s">
        <v>153</v>
      </c>
      <c r="F40" s="142" t="s">
        <v>0</v>
      </c>
      <c r="G40" s="143" t="s">
        <v>77</v>
      </c>
      <c r="H40" s="142" t="s">
        <v>70</v>
      </c>
      <c r="I40" s="144" t="s">
        <v>149</v>
      </c>
      <c r="J40" s="144" t="s">
        <v>150</v>
      </c>
      <c r="K40" s="35">
        <v>0</v>
      </c>
      <c r="L40" s="145">
        <v>15000</v>
      </c>
      <c r="M40" s="35">
        <v>0</v>
      </c>
      <c r="N40" s="145">
        <v>3000</v>
      </c>
      <c r="O40" s="146">
        <v>8</v>
      </c>
      <c r="P40" s="147">
        <v>46027</v>
      </c>
      <c r="Q40" s="148">
        <f>+IF(OR(TB_Cockpit_2026[[#This Row],[SPRINT]]="",TB_Cockpit_2026[[#This Row],[SPRINT]]=0),"",TB_Cockpit_2026[[#This Row],[Dt. INÍCIO]]+(TB_Cockpit_2026[[#This Row],[SPRINT]]*15))</f>
        <v>46147</v>
      </c>
      <c r="R40" s="149">
        <f ca="1">+IF(TB_Cockpit_2026[[#This Row],[Dt. INÍCIO]]&lt;&gt;"",IF(TB_Cockpit_2026[[#This Row],[Dt. INÍCIO]]&gt;TODAY(),0,(TODAY()-TB_Cockpit_2026[[#This Row],[Dt. INÍCIO]])/(TB_Cockpit_2026[[#This Row],[TÉRMINO]]-TB_Cockpit_2026[[#This Row],[Dt. INÍCIO]])),"")</f>
        <v>0</v>
      </c>
      <c r="S40" s="150"/>
      <c r="T40" s="40">
        <f ca="1">+IF(TB_Cockpit_2026[[#This Row],[%Prev.]]=0,1,IF(TB_Cockpit_2026[[#This Row],[%Real]]&lt;TB_Cockpit_2026[[#This Row],[%Prev.]],0,IF(AND(TB_Cockpit_2026[[#This Row],[%Prev.]]&lt;&gt;"",TB_Cockpit_2026[[#This Row],[%Real]]=""),0,IF(TB_Cockpit_2026[[#This Row],[%Real]]&gt;=TB_Cockpit_2026[[#This Row],[%Prev.]],2,1))))</f>
        <v>1</v>
      </c>
      <c r="U4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4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4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4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0" s="43">
        <v>1</v>
      </c>
      <c r="AH40" s="17">
        <v>4</v>
      </c>
      <c r="AI40" s="17">
        <v>2</v>
      </c>
      <c r="AJ40" s="17">
        <v>2</v>
      </c>
      <c r="AK40" s="18">
        <f>+(TB_Cockpit_2026[[#This Row],[Encantar os Clientes]]*$AH$10)+(TB_Cockpit_2026[[#This Row],[Capital com Foco]]*$AJ$10)+(TB_Cockpit_2026[[#This Row],[Alta Rentabilidade]]*$AI$10)+IF(TB_Cockpit_2026[[#This Row],[u]]="u",4,0)</f>
        <v>16</v>
      </c>
      <c r="AL40" s="19">
        <v>2</v>
      </c>
      <c r="AM40" s="20">
        <v>3</v>
      </c>
      <c r="AN40" s="20">
        <v>2</v>
      </c>
      <c r="AO40" s="20">
        <v>2</v>
      </c>
      <c r="AP40" s="20">
        <v>2</v>
      </c>
      <c r="AQ40" s="21">
        <f>SUM(TB_Cockpit_2026[[#This Row],[K1]:[K5]])</f>
        <v>11</v>
      </c>
      <c r="AR40" s="27">
        <f>+TB_Cockpit_2026[[#This Row],[Relev.]]+TB_Cockpit_2026[[#This Row],[SCORE]]</f>
        <v>27</v>
      </c>
      <c r="AS4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40" s="39"/>
      <c r="AU40" s="187" t="s">
        <v>154</v>
      </c>
    </row>
    <row r="41" spans="2:47" ht="68" hidden="1" x14ac:dyDescent="0.2">
      <c r="B41" s="139" t="s">
        <v>155</v>
      </c>
      <c r="C41" s="140"/>
      <c r="D41" s="141">
        <v>1</v>
      </c>
      <c r="E41" s="142" t="s">
        <v>156</v>
      </c>
      <c r="F41" s="142" t="s">
        <v>0</v>
      </c>
      <c r="G41" s="143" t="s">
        <v>77</v>
      </c>
      <c r="H41" s="142" t="s">
        <v>148</v>
      </c>
      <c r="I41" s="144" t="s">
        <v>149</v>
      </c>
      <c r="J41" s="144" t="s">
        <v>150</v>
      </c>
      <c r="K41" s="35">
        <v>0</v>
      </c>
      <c r="L41" s="145">
        <f>+IF(K41=0,0,IF(K41=1,Apoio!$H$2,IF(K41=2,Apoio!$H$3,IF(K41=3,Apoio!$H$4,IF(K41=4,Apoio!$H$5,0)))))</f>
        <v>0</v>
      </c>
      <c r="M41" s="35">
        <v>0</v>
      </c>
      <c r="N41" s="145">
        <f>+IF(M41=0,0,IF(M41=1,Apoio!$L$2,IF(M41=2,Apoio!$L$3,IF(M41=3,Apoio!$L$4,IF(M41=4,Apoio!$L$5,0)))))</f>
        <v>0</v>
      </c>
      <c r="O41" s="146">
        <v>4</v>
      </c>
      <c r="P41" s="147">
        <v>46055</v>
      </c>
      <c r="Q41" s="148">
        <f>+IF(OR(TB_Cockpit_2026[[#This Row],[SPRINT]]="",TB_Cockpit_2026[[#This Row],[SPRINT]]=0),"",TB_Cockpit_2026[[#This Row],[Dt. INÍCIO]]+(TB_Cockpit_2026[[#This Row],[SPRINT]]*15))</f>
        <v>46115</v>
      </c>
      <c r="R41" s="149">
        <f ca="1">+IF(TB_Cockpit_2026[[#This Row],[Dt. INÍCIO]]&lt;&gt;"",IF(TB_Cockpit_2026[[#This Row],[Dt. INÍCIO]]&gt;TODAY(),0,(TODAY()-TB_Cockpit_2026[[#This Row],[Dt. INÍCIO]])/(TB_Cockpit_2026[[#This Row],[TÉRMINO]]-TB_Cockpit_2026[[#This Row],[Dt. INÍCIO]])),"")</f>
        <v>0</v>
      </c>
      <c r="S41" s="150"/>
      <c r="T41" s="40">
        <f ca="1">+IF(TB_Cockpit_2026[[#This Row],[%Prev.]]=0,1,IF(TB_Cockpit_2026[[#This Row],[%Real]]&lt;TB_Cockpit_2026[[#This Row],[%Prev.]],0,IF(AND(TB_Cockpit_2026[[#This Row],[%Prev.]]&lt;&gt;"",TB_Cockpit_2026[[#This Row],[%Real]]=""),0,IF(TB_Cockpit_2026[[#This Row],[%Real]]&gt;=TB_Cockpit_2026[[#This Row],[%Prev.]],2,1))))</f>
        <v>1</v>
      </c>
      <c r="U41"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41"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41"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1"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41"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1"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1"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1"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1"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1"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1"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1"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1" s="43">
        <v>2</v>
      </c>
      <c r="AH41" s="17">
        <v>2</v>
      </c>
      <c r="AI41" s="17">
        <v>4</v>
      </c>
      <c r="AJ41" s="17">
        <v>4</v>
      </c>
      <c r="AK41" s="18">
        <f>+(TB_Cockpit_2026[[#This Row],[Encantar os Clientes]]*$AH$10)+(TB_Cockpit_2026[[#This Row],[Capital com Foco]]*$AJ$10)+(TB_Cockpit_2026[[#This Row],[Alta Rentabilidade]]*$AI$10)+IF(TB_Cockpit_2026[[#This Row],[u]]="u",4,0)</f>
        <v>12</v>
      </c>
      <c r="AL41" s="19">
        <v>4</v>
      </c>
      <c r="AM41" s="20">
        <v>0</v>
      </c>
      <c r="AN41" s="20">
        <v>2</v>
      </c>
      <c r="AO41" s="20">
        <v>1</v>
      </c>
      <c r="AP41" s="20">
        <v>2</v>
      </c>
      <c r="AQ41" s="21">
        <f>SUM(TB_Cockpit_2026[[#This Row],[K1]:[K5]])</f>
        <v>9</v>
      </c>
      <c r="AR41" s="27">
        <f>+TB_Cockpit_2026[[#This Row],[Relev.]]+TB_Cockpit_2026[[#This Row],[SCORE]]</f>
        <v>21</v>
      </c>
      <c r="AS4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41" s="39"/>
      <c r="AU41" s="187" t="s">
        <v>157</v>
      </c>
    </row>
    <row r="42" spans="2:47" ht="18" hidden="1" x14ac:dyDescent="0.2">
      <c r="B42" s="139" t="s">
        <v>158</v>
      </c>
      <c r="C42" s="140"/>
      <c r="D42" s="141">
        <v>1</v>
      </c>
      <c r="E42" s="142" t="s">
        <v>159</v>
      </c>
      <c r="F42" s="142" t="s">
        <v>0</v>
      </c>
      <c r="G42" s="143" t="s">
        <v>64</v>
      </c>
      <c r="H42" s="142" t="s">
        <v>148</v>
      </c>
      <c r="I42" s="144" t="s">
        <v>160</v>
      </c>
      <c r="J42" s="144" t="s">
        <v>161</v>
      </c>
      <c r="K42" s="35">
        <v>0</v>
      </c>
      <c r="L42" s="145">
        <f>+IF(K42=0,0,IF(K42=1,Apoio!$H$2,IF(K42=2,Apoio!$H$3,IF(K42=3,Apoio!$H$4,IF(K42=4,Apoio!$H$5,0)))))</f>
        <v>0</v>
      </c>
      <c r="M42" s="35">
        <v>0</v>
      </c>
      <c r="N42" s="153">
        <v>2150000</v>
      </c>
      <c r="O42" s="146">
        <v>1</v>
      </c>
      <c r="P42" s="147">
        <v>46023</v>
      </c>
      <c r="Q42" s="148">
        <f>+IF(OR(TB_Cockpit_2026[[#This Row],[SPRINT]]="",TB_Cockpit_2026[[#This Row],[SPRINT]]=0),"",TB_Cockpit_2026[[#This Row],[Dt. INÍCIO]]+(TB_Cockpit_2026[[#This Row],[SPRINT]]*15))</f>
        <v>46038</v>
      </c>
      <c r="R42" s="149">
        <f ca="1">+IF(TB_Cockpit_2026[[#This Row],[Dt. INÍCIO]]&lt;&gt;"",IF(TB_Cockpit_2026[[#This Row],[Dt. INÍCIO]]&gt;TODAY(),0,(TODAY()-TB_Cockpit_2026[[#This Row],[Dt. INÍCIO]])/(TB_Cockpit_2026[[#This Row],[TÉRMINO]]-TB_Cockpit_2026[[#This Row],[Dt. INÍCIO]])),"")</f>
        <v>0</v>
      </c>
      <c r="S42" s="150"/>
      <c r="T42" s="40">
        <f ca="1">+IF(TB_Cockpit_2026[[#This Row],[%Prev.]]=0,1,IF(TB_Cockpit_2026[[#This Row],[%Real]]&lt;TB_Cockpit_2026[[#This Row],[%Prev.]],0,IF(AND(TB_Cockpit_2026[[#This Row],[%Prev.]]&lt;&gt;"",TB_Cockpit_2026[[#This Row],[%Real]]=""),0,IF(TB_Cockpit_2026[[#This Row],[%Real]]&gt;=TB_Cockpit_2026[[#This Row],[%Prev.]],2,1))))</f>
        <v>1</v>
      </c>
      <c r="U4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4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4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2" s="120">
        <v>3</v>
      </c>
      <c r="AH42" s="17">
        <v>4</v>
      </c>
      <c r="AI42" s="17">
        <v>3</v>
      </c>
      <c r="AJ42" s="17">
        <v>3</v>
      </c>
      <c r="AK42" s="18">
        <f>+(TB_Cockpit_2026[[#This Row],[Encantar os Clientes]]*$AH$10)+(TB_Cockpit_2026[[#This Row],[Capital com Foco]]*$AJ$10)+(TB_Cockpit_2026[[#This Row],[Alta Rentabilidade]]*$AI$10)+IF(TB_Cockpit_2026[[#This Row],[u]]="u",4,0)</f>
        <v>14</v>
      </c>
      <c r="AL42" s="19">
        <v>4</v>
      </c>
      <c r="AM42" s="20">
        <v>4</v>
      </c>
      <c r="AN42" s="20">
        <v>4</v>
      </c>
      <c r="AO42" s="20">
        <v>4</v>
      </c>
      <c r="AP42" s="20">
        <v>4</v>
      </c>
      <c r="AQ42" s="21">
        <f>SUM(TB_Cockpit_2026[[#This Row],[K1]:[K5]])</f>
        <v>20</v>
      </c>
      <c r="AR42" s="27">
        <f>+TB_Cockpit_2026[[#This Row],[Relev.]]+TB_Cockpit_2026[[#This Row],[SCORE]]</f>
        <v>34</v>
      </c>
      <c r="AS4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42" s="39"/>
      <c r="AU42" s="184"/>
    </row>
    <row r="43" spans="2:47" ht="18" hidden="1" x14ac:dyDescent="0.2">
      <c r="B43" s="139" t="s">
        <v>162</v>
      </c>
      <c r="C43" s="140"/>
      <c r="D43" s="141">
        <v>1</v>
      </c>
      <c r="E43" s="142" t="s">
        <v>163</v>
      </c>
      <c r="F43" s="142" t="s">
        <v>2</v>
      </c>
      <c r="G43" s="143" t="s">
        <v>64</v>
      </c>
      <c r="H43" s="142" t="s">
        <v>70</v>
      </c>
      <c r="I43" s="144" t="s">
        <v>160</v>
      </c>
      <c r="J43" s="144" t="s">
        <v>164</v>
      </c>
      <c r="K43" s="35">
        <v>0</v>
      </c>
      <c r="L43" s="153">
        <v>3000</v>
      </c>
      <c r="M43" s="35">
        <v>0</v>
      </c>
      <c r="N43" s="153">
        <v>36000</v>
      </c>
      <c r="O43" s="146">
        <v>1</v>
      </c>
      <c r="P43" s="147">
        <v>46027</v>
      </c>
      <c r="Q43" s="148">
        <f>+IF(OR(TB_Cockpit_2026[[#This Row],[SPRINT]]="",TB_Cockpit_2026[[#This Row],[SPRINT]]=0),"",TB_Cockpit_2026[[#This Row],[Dt. INÍCIO]]+(TB_Cockpit_2026[[#This Row],[SPRINT]]*15))</f>
        <v>46042</v>
      </c>
      <c r="R43" s="149">
        <f ca="1">+IF(TB_Cockpit_2026[[#This Row],[Dt. INÍCIO]]&lt;&gt;"",IF(TB_Cockpit_2026[[#This Row],[Dt. INÍCIO]]&gt;TODAY(),0,(TODAY()-TB_Cockpit_2026[[#This Row],[Dt. INÍCIO]])/(TB_Cockpit_2026[[#This Row],[TÉRMINO]]-TB_Cockpit_2026[[#This Row],[Dt. INÍCIO]])),"")</f>
        <v>0</v>
      </c>
      <c r="S43" s="150"/>
      <c r="T43" s="40">
        <f ca="1">+IF(TB_Cockpit_2026[[#This Row],[%Prev.]]=0,1,IF(TB_Cockpit_2026[[#This Row],[%Real]]&lt;TB_Cockpit_2026[[#This Row],[%Prev.]],0,IF(AND(TB_Cockpit_2026[[#This Row],[%Prev.]]&lt;&gt;"",TB_Cockpit_2026[[#This Row],[%Real]]=""),0,IF(TB_Cockpit_2026[[#This Row],[%Real]]&gt;=TB_Cockpit_2026[[#This Row],[%Prev.]],2,1))))</f>
        <v>1</v>
      </c>
      <c r="U4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4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4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3" s="120">
        <v>0</v>
      </c>
      <c r="AH43" s="17">
        <v>0</v>
      </c>
      <c r="AI43" s="17">
        <v>0</v>
      </c>
      <c r="AJ43" s="17">
        <v>0</v>
      </c>
      <c r="AK43" s="18">
        <f>+(TB_Cockpit_2026[[#This Row],[Encantar os Clientes]]*$AH$10)+(TB_Cockpit_2026[[#This Row],[Capital com Foco]]*$AJ$10)+(TB_Cockpit_2026[[#This Row],[Alta Rentabilidade]]*$AI$10)+IF(TB_Cockpit_2026[[#This Row],[u]]="u",4,0)</f>
        <v>0</v>
      </c>
      <c r="AL43" s="19">
        <v>0</v>
      </c>
      <c r="AM43" s="20">
        <v>0</v>
      </c>
      <c r="AN43" s="20">
        <v>0</v>
      </c>
      <c r="AO43" s="20">
        <v>4</v>
      </c>
      <c r="AP43" s="20">
        <v>0</v>
      </c>
      <c r="AQ43" s="21">
        <f>SUM(TB_Cockpit_2026[[#This Row],[K1]:[K5]])</f>
        <v>4</v>
      </c>
      <c r="AR43" s="27">
        <f>+TB_Cockpit_2026[[#This Row],[Relev.]]+TB_Cockpit_2026[[#This Row],[SCORE]]</f>
        <v>4</v>
      </c>
      <c r="AS4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3" s="39"/>
      <c r="AU43" s="184"/>
    </row>
    <row r="44" spans="2:47" ht="18" hidden="1" x14ac:dyDescent="0.2">
      <c r="B44" s="139" t="s">
        <v>165</v>
      </c>
      <c r="C44" s="140"/>
      <c r="D44" s="141">
        <v>1</v>
      </c>
      <c r="E44" s="142" t="s">
        <v>166</v>
      </c>
      <c r="F44" s="142" t="s">
        <v>0</v>
      </c>
      <c r="G44" s="143" t="s">
        <v>64</v>
      </c>
      <c r="H44" s="142" t="s">
        <v>70</v>
      </c>
      <c r="I44" s="144" t="s">
        <v>160</v>
      </c>
      <c r="J44" s="144" t="s">
        <v>164</v>
      </c>
      <c r="K44" s="35">
        <v>0</v>
      </c>
      <c r="L44" s="153">
        <v>7000</v>
      </c>
      <c r="M44" s="35">
        <v>0</v>
      </c>
      <c r="N44" s="153">
        <v>2000</v>
      </c>
      <c r="O44" s="146">
        <v>3</v>
      </c>
      <c r="P44" s="147">
        <v>46023</v>
      </c>
      <c r="Q44" s="148">
        <f>+IF(OR(TB_Cockpit_2026[[#This Row],[SPRINT]]="",TB_Cockpit_2026[[#This Row],[SPRINT]]=0),"",TB_Cockpit_2026[[#This Row],[Dt. INÍCIO]]+(TB_Cockpit_2026[[#This Row],[SPRINT]]*15))</f>
        <v>46068</v>
      </c>
      <c r="R44" s="149">
        <f ca="1">+IF(TB_Cockpit_2026[[#This Row],[Dt. INÍCIO]]&lt;&gt;"",IF(TB_Cockpit_2026[[#This Row],[Dt. INÍCIO]]&gt;TODAY(),0,(TODAY()-TB_Cockpit_2026[[#This Row],[Dt. INÍCIO]])/(TB_Cockpit_2026[[#This Row],[TÉRMINO]]-TB_Cockpit_2026[[#This Row],[Dt. INÍCIO]])),"")</f>
        <v>0</v>
      </c>
      <c r="S44" s="150"/>
      <c r="T44" s="40">
        <f ca="1">+IF(TB_Cockpit_2026[[#This Row],[%Prev.]]=0,1,IF(TB_Cockpit_2026[[#This Row],[%Real]]&lt;TB_Cockpit_2026[[#This Row],[%Prev.]],0,IF(AND(TB_Cockpit_2026[[#This Row],[%Prev.]]&lt;&gt;"",TB_Cockpit_2026[[#This Row],[%Real]]=""),0,IF(TB_Cockpit_2026[[#This Row],[%Real]]&gt;=TB_Cockpit_2026[[#This Row],[%Prev.]],2,1))))</f>
        <v>1</v>
      </c>
      <c r="U4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4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4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4" s="120">
        <v>0</v>
      </c>
      <c r="AH44" s="17">
        <v>0</v>
      </c>
      <c r="AI44" s="17">
        <v>0</v>
      </c>
      <c r="AJ44" s="17">
        <v>0</v>
      </c>
      <c r="AK44" s="18">
        <f>+(TB_Cockpit_2026[[#This Row],[Encantar os Clientes]]*$AH$10)+(TB_Cockpit_2026[[#This Row],[Capital com Foco]]*$AJ$10)+(TB_Cockpit_2026[[#This Row],[Alta Rentabilidade]]*$AI$10)+IF(TB_Cockpit_2026[[#This Row],[u]]="u",4,0)</f>
        <v>0</v>
      </c>
      <c r="AL44" s="19">
        <v>0</v>
      </c>
      <c r="AM44" s="20">
        <v>0</v>
      </c>
      <c r="AN44" s="20">
        <v>0</v>
      </c>
      <c r="AO44" s="20">
        <v>0</v>
      </c>
      <c r="AP44" s="20">
        <v>0</v>
      </c>
      <c r="AQ44" s="21">
        <f>SUM(TB_Cockpit_2026[[#This Row],[K1]:[K5]])</f>
        <v>0</v>
      </c>
      <c r="AR44" s="27">
        <f>+TB_Cockpit_2026[[#This Row],[Relev.]]+TB_Cockpit_2026[[#This Row],[SCORE]]</f>
        <v>0</v>
      </c>
      <c r="AS4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4" s="39"/>
      <c r="AU44" s="184"/>
    </row>
    <row r="45" spans="2:47" ht="18" hidden="1" x14ac:dyDescent="0.2">
      <c r="B45" s="139" t="s">
        <v>167</v>
      </c>
      <c r="C45" s="140"/>
      <c r="D45" s="141">
        <v>1</v>
      </c>
      <c r="E45" s="142" t="s">
        <v>168</v>
      </c>
      <c r="F45" s="142" t="s">
        <v>2</v>
      </c>
      <c r="G45" s="143" t="s">
        <v>64</v>
      </c>
      <c r="H45" s="142" t="s">
        <v>78</v>
      </c>
      <c r="I45" s="144" t="s">
        <v>160</v>
      </c>
      <c r="J45" s="144" t="s">
        <v>161</v>
      </c>
      <c r="K45" s="35">
        <v>0</v>
      </c>
      <c r="L45" s="153">
        <v>10000</v>
      </c>
      <c r="M45" s="35">
        <v>0</v>
      </c>
      <c r="N45" s="153">
        <v>12000</v>
      </c>
      <c r="O45" s="146">
        <v>4</v>
      </c>
      <c r="P45" s="147">
        <v>46027</v>
      </c>
      <c r="Q45" s="148">
        <f>+IF(OR(TB_Cockpit_2026[[#This Row],[SPRINT]]="",TB_Cockpit_2026[[#This Row],[SPRINT]]=0),"",TB_Cockpit_2026[[#This Row],[Dt. INÍCIO]]+(TB_Cockpit_2026[[#This Row],[SPRINT]]*15))</f>
        <v>46087</v>
      </c>
      <c r="R45" s="149">
        <f ca="1">+IF(TB_Cockpit_2026[[#This Row],[Dt. INÍCIO]]&lt;&gt;"",IF(TB_Cockpit_2026[[#This Row],[Dt. INÍCIO]]&gt;TODAY(),0,(TODAY()-TB_Cockpit_2026[[#This Row],[Dt. INÍCIO]])/(TB_Cockpit_2026[[#This Row],[TÉRMINO]]-TB_Cockpit_2026[[#This Row],[Dt. INÍCIO]])),"")</f>
        <v>0</v>
      </c>
      <c r="S45" s="150"/>
      <c r="T45" s="40">
        <f ca="1">+IF(TB_Cockpit_2026[[#This Row],[%Prev.]]=0,1,IF(TB_Cockpit_2026[[#This Row],[%Real]]&lt;TB_Cockpit_2026[[#This Row],[%Prev.]],0,IF(AND(TB_Cockpit_2026[[#This Row],[%Prev.]]&lt;&gt;"",TB_Cockpit_2026[[#This Row],[%Real]]=""),0,IF(TB_Cockpit_2026[[#This Row],[%Real]]&gt;=TB_Cockpit_2026[[#This Row],[%Prev.]],2,1))))</f>
        <v>1</v>
      </c>
      <c r="U4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4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5" s="120">
        <v>0</v>
      </c>
      <c r="AH45" s="17">
        <v>0</v>
      </c>
      <c r="AI45" s="17">
        <v>0</v>
      </c>
      <c r="AJ45" s="17">
        <v>0</v>
      </c>
      <c r="AK45" s="18">
        <f>+(TB_Cockpit_2026[[#This Row],[Encantar os Clientes]]*$AH$10)+(TB_Cockpit_2026[[#This Row],[Capital com Foco]]*$AJ$10)+(TB_Cockpit_2026[[#This Row],[Alta Rentabilidade]]*$AI$10)+IF(TB_Cockpit_2026[[#This Row],[u]]="u",4,0)</f>
        <v>0</v>
      </c>
      <c r="AL45" s="19">
        <v>3</v>
      </c>
      <c r="AM45" s="20">
        <v>3</v>
      </c>
      <c r="AN45" s="20">
        <v>3</v>
      </c>
      <c r="AO45" s="20">
        <v>4</v>
      </c>
      <c r="AP45" s="20">
        <v>0</v>
      </c>
      <c r="AQ45" s="21">
        <f>SUM(TB_Cockpit_2026[[#This Row],[K1]:[K5]])</f>
        <v>13</v>
      </c>
      <c r="AR45" s="27">
        <f>+TB_Cockpit_2026[[#This Row],[Relev.]]+TB_Cockpit_2026[[#This Row],[SCORE]]</f>
        <v>13</v>
      </c>
      <c r="AS4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45" s="39"/>
      <c r="AU45" s="184"/>
    </row>
    <row r="46" spans="2:47" ht="18" hidden="1" x14ac:dyDescent="0.2">
      <c r="B46" s="139" t="s">
        <v>169</v>
      </c>
      <c r="C46" s="140"/>
      <c r="D46" s="141">
        <v>1</v>
      </c>
      <c r="E46" s="142" t="s">
        <v>170</v>
      </c>
      <c r="F46" s="142" t="s">
        <v>0</v>
      </c>
      <c r="G46" s="143" t="s">
        <v>64</v>
      </c>
      <c r="H46" s="142" t="s">
        <v>148</v>
      </c>
      <c r="I46" s="152" t="s">
        <v>160</v>
      </c>
      <c r="J46" s="144" t="s">
        <v>164</v>
      </c>
      <c r="K46" s="35">
        <v>0</v>
      </c>
      <c r="L46" s="145">
        <f>+IF(K46=0,0,IF(K46=1,Apoio!$H$2,IF(K46=2,Apoio!$H$3,IF(K46=3,Apoio!$H$4,IF(K46=4,Apoio!$H$5,0)))))</f>
        <v>0</v>
      </c>
      <c r="M46" s="35">
        <v>0</v>
      </c>
      <c r="N46" s="153">
        <v>800000</v>
      </c>
      <c r="O46" s="146">
        <v>4</v>
      </c>
      <c r="P46" s="147">
        <v>46082</v>
      </c>
      <c r="Q46" s="148">
        <f>+IF(OR(TB_Cockpit_2026[[#This Row],[SPRINT]]="",TB_Cockpit_2026[[#This Row],[SPRINT]]=0),"",TB_Cockpit_2026[[#This Row],[Dt. INÍCIO]]+(TB_Cockpit_2026[[#This Row],[SPRINT]]*15))</f>
        <v>46142</v>
      </c>
      <c r="R46" s="149">
        <f ca="1">+IF(TB_Cockpit_2026[[#This Row],[Dt. INÍCIO]]&lt;&gt;"",IF(TB_Cockpit_2026[[#This Row],[Dt. INÍCIO]]&gt;TODAY(),0,(TODAY()-TB_Cockpit_2026[[#This Row],[Dt. INÍCIO]])/(TB_Cockpit_2026[[#This Row],[TÉRMINO]]-TB_Cockpit_2026[[#This Row],[Dt. INÍCIO]])),"")</f>
        <v>0</v>
      </c>
      <c r="S46" s="150"/>
      <c r="T46" s="40">
        <f ca="1">+IF(TB_Cockpit_2026[[#This Row],[%Prev.]]=0,1,IF(TB_Cockpit_2026[[#This Row],[%Real]]&lt;TB_Cockpit_2026[[#This Row],[%Prev.]],0,IF(AND(TB_Cockpit_2026[[#This Row],[%Prev.]]&lt;&gt;"",TB_Cockpit_2026[[#This Row],[%Real]]=""),0,IF(TB_Cockpit_2026[[#This Row],[%Real]]&gt;=TB_Cockpit_2026[[#This Row],[%Prev.]],2,1))))</f>
        <v>1</v>
      </c>
      <c r="U4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4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4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4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6" s="120">
        <v>3</v>
      </c>
      <c r="AH46" s="17">
        <v>2</v>
      </c>
      <c r="AI46" s="17">
        <v>2</v>
      </c>
      <c r="AJ46" s="17">
        <v>2</v>
      </c>
      <c r="AK46" s="18">
        <f>+(TB_Cockpit_2026[[#This Row],[Encantar os Clientes]]*$AH$10)+(TB_Cockpit_2026[[#This Row],[Capital com Foco]]*$AJ$10)+(TB_Cockpit_2026[[#This Row],[Alta Rentabilidade]]*$AI$10)+IF(TB_Cockpit_2026[[#This Row],[u]]="u",4,0)</f>
        <v>8</v>
      </c>
      <c r="AL46" s="19">
        <v>1</v>
      </c>
      <c r="AM46" s="20">
        <v>1</v>
      </c>
      <c r="AN46" s="20">
        <v>1</v>
      </c>
      <c r="AO46" s="20">
        <v>1</v>
      </c>
      <c r="AP46" s="20">
        <v>1</v>
      </c>
      <c r="AQ46" s="21">
        <f>SUM(TB_Cockpit_2026[[#This Row],[K1]:[K5]])</f>
        <v>5</v>
      </c>
      <c r="AR46" s="27">
        <f>+TB_Cockpit_2026[[#This Row],[Relev.]]+TB_Cockpit_2026[[#This Row],[SCORE]]</f>
        <v>13</v>
      </c>
      <c r="AS4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6" s="39"/>
      <c r="AU46" s="184"/>
    </row>
    <row r="47" spans="2:47" ht="18" hidden="1" x14ac:dyDescent="0.2">
      <c r="B47" s="139" t="s">
        <v>171</v>
      </c>
      <c r="C47" s="140"/>
      <c r="D47" s="141">
        <v>1</v>
      </c>
      <c r="E47" s="142" t="s">
        <v>172</v>
      </c>
      <c r="F47" s="142" t="s">
        <v>0</v>
      </c>
      <c r="G47" s="143" t="s">
        <v>64</v>
      </c>
      <c r="H47" s="142" t="s">
        <v>148</v>
      </c>
      <c r="I47" s="144" t="s">
        <v>160</v>
      </c>
      <c r="J47" s="144" t="s">
        <v>164</v>
      </c>
      <c r="K47" s="35">
        <v>0</v>
      </c>
      <c r="L47" s="145">
        <f>+IF(K47=0,0,IF(K47=1,Apoio!$H$2,IF(K47=2,Apoio!$H$3,IF(K47=3,Apoio!$H$4,IF(K47=4,Apoio!$H$5,0)))))</f>
        <v>0</v>
      </c>
      <c r="M47" s="35">
        <v>0</v>
      </c>
      <c r="N47" s="153">
        <v>1200000</v>
      </c>
      <c r="O47" s="146">
        <v>2</v>
      </c>
      <c r="P47" s="147">
        <v>46082</v>
      </c>
      <c r="Q47" s="148">
        <f>+IF(OR(TB_Cockpit_2026[[#This Row],[SPRINT]]="",TB_Cockpit_2026[[#This Row],[SPRINT]]=0),"",TB_Cockpit_2026[[#This Row],[Dt. INÍCIO]]+(TB_Cockpit_2026[[#This Row],[SPRINT]]*15))</f>
        <v>46112</v>
      </c>
      <c r="R47" s="149">
        <f ca="1">+IF(TB_Cockpit_2026[[#This Row],[Dt. INÍCIO]]&lt;&gt;"",IF(TB_Cockpit_2026[[#This Row],[Dt. INÍCIO]]&gt;TODAY(),0,(TODAY()-TB_Cockpit_2026[[#This Row],[Dt. INÍCIO]])/(TB_Cockpit_2026[[#This Row],[TÉRMINO]]-TB_Cockpit_2026[[#This Row],[Dt. INÍCIO]])),"")</f>
        <v>0</v>
      </c>
      <c r="S47" s="150"/>
      <c r="T47" s="40">
        <f ca="1">+IF(TB_Cockpit_2026[[#This Row],[%Prev.]]=0,1,IF(TB_Cockpit_2026[[#This Row],[%Real]]&lt;TB_Cockpit_2026[[#This Row],[%Prev.]],0,IF(AND(TB_Cockpit_2026[[#This Row],[%Prev.]]&lt;&gt;"",TB_Cockpit_2026[[#This Row],[%Real]]=""),0,IF(TB_Cockpit_2026[[#This Row],[%Real]]&gt;=TB_Cockpit_2026[[#This Row],[%Prev.]],2,1))))</f>
        <v>1</v>
      </c>
      <c r="U4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4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4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7" s="120">
        <v>2</v>
      </c>
      <c r="AH47" s="17">
        <v>1</v>
      </c>
      <c r="AI47" s="17">
        <v>2</v>
      </c>
      <c r="AJ47" s="17">
        <v>2</v>
      </c>
      <c r="AK47" s="18">
        <f>+(TB_Cockpit_2026[[#This Row],[Encantar os Clientes]]*$AH$10)+(TB_Cockpit_2026[[#This Row],[Capital com Foco]]*$AJ$10)+(TB_Cockpit_2026[[#This Row],[Alta Rentabilidade]]*$AI$10)+IF(TB_Cockpit_2026[[#This Row],[u]]="u",4,0)</f>
        <v>6</v>
      </c>
      <c r="AL47" s="19">
        <v>2</v>
      </c>
      <c r="AM47" s="20">
        <v>2</v>
      </c>
      <c r="AN47" s="20">
        <v>2</v>
      </c>
      <c r="AO47" s="20">
        <v>2</v>
      </c>
      <c r="AP47" s="20">
        <v>2</v>
      </c>
      <c r="AQ47" s="21">
        <f>SUM(TB_Cockpit_2026[[#This Row],[K1]:[K5]])</f>
        <v>10</v>
      </c>
      <c r="AR47" s="27">
        <f>+TB_Cockpit_2026[[#This Row],[Relev.]]+TB_Cockpit_2026[[#This Row],[SCORE]]</f>
        <v>16</v>
      </c>
      <c r="AS4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7" s="39"/>
      <c r="AU47" s="184"/>
    </row>
    <row r="48" spans="2:47" ht="18" hidden="1" x14ac:dyDescent="0.2">
      <c r="B48" s="139" t="s">
        <v>173</v>
      </c>
      <c r="C48" s="140"/>
      <c r="D48" s="141">
        <v>1</v>
      </c>
      <c r="E48" s="142" t="s">
        <v>174</v>
      </c>
      <c r="F48" s="142" t="s">
        <v>0</v>
      </c>
      <c r="G48" s="143" t="s">
        <v>64</v>
      </c>
      <c r="H48" s="142" t="s">
        <v>148</v>
      </c>
      <c r="I48" s="144" t="s">
        <v>160</v>
      </c>
      <c r="J48" s="144" t="s">
        <v>164</v>
      </c>
      <c r="K48" s="35">
        <v>0</v>
      </c>
      <c r="L48" s="145">
        <f>+IF(K48=0,0,IF(K48=1,Apoio!$H$2,IF(K48=2,Apoio!$H$3,IF(K48=3,Apoio!$H$4,IF(K48=4,Apoio!$H$5,0)))))</f>
        <v>0</v>
      </c>
      <c r="M48" s="35">
        <v>0</v>
      </c>
      <c r="N48" s="153">
        <v>500000</v>
      </c>
      <c r="O48" s="146">
        <v>4</v>
      </c>
      <c r="P48" s="147">
        <v>46023</v>
      </c>
      <c r="Q48" s="148">
        <f>+IF(OR(TB_Cockpit_2026[[#This Row],[SPRINT]]="",TB_Cockpit_2026[[#This Row],[SPRINT]]=0),"",TB_Cockpit_2026[[#This Row],[Dt. INÍCIO]]+(TB_Cockpit_2026[[#This Row],[SPRINT]]*15))</f>
        <v>46083</v>
      </c>
      <c r="R48" s="149">
        <f ca="1">+IF(TB_Cockpit_2026[[#This Row],[Dt. INÍCIO]]&lt;&gt;"",IF(TB_Cockpit_2026[[#This Row],[Dt. INÍCIO]]&gt;TODAY(),0,(TODAY()-TB_Cockpit_2026[[#This Row],[Dt. INÍCIO]])/(TB_Cockpit_2026[[#This Row],[TÉRMINO]]-TB_Cockpit_2026[[#This Row],[Dt. INÍCIO]])),"")</f>
        <v>0</v>
      </c>
      <c r="S48" s="150"/>
      <c r="T48" s="40">
        <f ca="1">+IF(TB_Cockpit_2026[[#This Row],[%Prev.]]=0,1,IF(TB_Cockpit_2026[[#This Row],[%Real]]&lt;TB_Cockpit_2026[[#This Row],[%Prev.]],0,IF(AND(TB_Cockpit_2026[[#This Row],[%Prev.]]&lt;&gt;"",TB_Cockpit_2026[[#This Row],[%Real]]=""),0,IF(TB_Cockpit_2026[[#This Row],[%Real]]&gt;=TB_Cockpit_2026[[#This Row],[%Prev.]],2,1))))</f>
        <v>1</v>
      </c>
      <c r="U4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4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4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8" s="120">
        <v>0</v>
      </c>
      <c r="AH48" s="17">
        <v>4</v>
      </c>
      <c r="AI48" s="17">
        <v>1</v>
      </c>
      <c r="AJ48" s="17">
        <v>1</v>
      </c>
      <c r="AK48" s="18">
        <f>+(TB_Cockpit_2026[[#This Row],[Encantar os Clientes]]*$AH$10)+(TB_Cockpit_2026[[#This Row],[Capital com Foco]]*$AJ$10)+(TB_Cockpit_2026[[#This Row],[Alta Rentabilidade]]*$AI$10)+IF(TB_Cockpit_2026[[#This Row],[u]]="u",4,0)</f>
        <v>10</v>
      </c>
      <c r="AL48" s="19">
        <v>0</v>
      </c>
      <c r="AM48" s="20">
        <v>0</v>
      </c>
      <c r="AN48" s="20">
        <v>0</v>
      </c>
      <c r="AO48" s="20">
        <v>0</v>
      </c>
      <c r="AP48" s="20">
        <v>0</v>
      </c>
      <c r="AQ48" s="21">
        <f>SUM(TB_Cockpit_2026[[#This Row],[K1]:[K5]])</f>
        <v>0</v>
      </c>
      <c r="AR48" s="27">
        <f>+TB_Cockpit_2026[[#This Row],[Relev.]]+TB_Cockpit_2026[[#This Row],[SCORE]]</f>
        <v>10</v>
      </c>
      <c r="AS4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8" s="39"/>
      <c r="AU48" s="184"/>
    </row>
    <row r="49" spans="2:47" ht="18" hidden="1" x14ac:dyDescent="0.2">
      <c r="B49" s="139" t="s">
        <v>175</v>
      </c>
      <c r="C49" s="140"/>
      <c r="D49" s="141">
        <v>1</v>
      </c>
      <c r="E49" s="142" t="s">
        <v>176</v>
      </c>
      <c r="F49" s="142" t="s">
        <v>0</v>
      </c>
      <c r="G49" s="143" t="s">
        <v>64</v>
      </c>
      <c r="H49" s="142" t="s">
        <v>70</v>
      </c>
      <c r="I49" s="144" t="s">
        <v>160</v>
      </c>
      <c r="J49" s="144" t="s">
        <v>164</v>
      </c>
      <c r="K49" s="35">
        <v>0</v>
      </c>
      <c r="L49" s="145">
        <f>+IF(K49=0,0,IF(K49=1,Apoio!$H$2,IF(K49=2,Apoio!$H$3,IF(K49=3,Apoio!$H$4,IF(K49=4,Apoio!$H$5,0)))))</f>
        <v>0</v>
      </c>
      <c r="M49" s="35">
        <v>0</v>
      </c>
      <c r="N49" s="153">
        <v>35000</v>
      </c>
      <c r="O49" s="146">
        <v>2</v>
      </c>
      <c r="P49" s="147">
        <v>46023</v>
      </c>
      <c r="Q49" s="148">
        <f>+IF(OR(TB_Cockpit_2026[[#This Row],[SPRINT]]="",TB_Cockpit_2026[[#This Row],[SPRINT]]=0),"",TB_Cockpit_2026[[#This Row],[Dt. INÍCIO]]+(TB_Cockpit_2026[[#This Row],[SPRINT]]*15))</f>
        <v>46053</v>
      </c>
      <c r="R49" s="149">
        <f ca="1">+IF(TB_Cockpit_2026[[#This Row],[Dt. INÍCIO]]&lt;&gt;"",IF(TB_Cockpit_2026[[#This Row],[Dt. INÍCIO]]&gt;TODAY(),0,(TODAY()-TB_Cockpit_2026[[#This Row],[Dt. INÍCIO]])/(TB_Cockpit_2026[[#This Row],[TÉRMINO]]-TB_Cockpit_2026[[#This Row],[Dt. INÍCIO]])),"")</f>
        <v>0</v>
      </c>
      <c r="S49" s="150"/>
      <c r="T49" s="40">
        <f ca="1">+IF(TB_Cockpit_2026[[#This Row],[%Prev.]]=0,1,IF(TB_Cockpit_2026[[#This Row],[%Real]]&lt;TB_Cockpit_2026[[#This Row],[%Prev.]],0,IF(AND(TB_Cockpit_2026[[#This Row],[%Prev.]]&lt;&gt;"",TB_Cockpit_2026[[#This Row],[%Real]]=""),0,IF(TB_Cockpit_2026[[#This Row],[%Real]]&gt;=TB_Cockpit_2026[[#This Row],[%Prev.]],2,1))))</f>
        <v>1</v>
      </c>
      <c r="U4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4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4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4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4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4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4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4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4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4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4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4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49" s="120">
        <v>0</v>
      </c>
      <c r="AH49" s="17">
        <v>0</v>
      </c>
      <c r="AI49" s="17">
        <v>0</v>
      </c>
      <c r="AJ49" s="17">
        <v>0</v>
      </c>
      <c r="AK49" s="18">
        <f>+(TB_Cockpit_2026[[#This Row],[Encantar os Clientes]]*$AH$10)+(TB_Cockpit_2026[[#This Row],[Capital com Foco]]*$AJ$10)+(TB_Cockpit_2026[[#This Row],[Alta Rentabilidade]]*$AI$10)+IF(TB_Cockpit_2026[[#This Row],[u]]="u",4,0)</f>
        <v>0</v>
      </c>
      <c r="AL49" s="19">
        <v>0</v>
      </c>
      <c r="AM49" s="20">
        <v>0</v>
      </c>
      <c r="AN49" s="20">
        <v>0</v>
      </c>
      <c r="AO49" s="20">
        <v>0</v>
      </c>
      <c r="AP49" s="20">
        <v>0</v>
      </c>
      <c r="AQ49" s="21">
        <f>SUM(TB_Cockpit_2026[[#This Row],[K1]:[K5]])</f>
        <v>0</v>
      </c>
      <c r="AR49" s="27">
        <f>+TB_Cockpit_2026[[#This Row],[Relev.]]+TB_Cockpit_2026[[#This Row],[SCORE]]</f>
        <v>0</v>
      </c>
      <c r="AS4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49" s="39"/>
      <c r="AU49" s="184"/>
    </row>
    <row r="50" spans="2:47" ht="18" hidden="1" x14ac:dyDescent="0.2">
      <c r="B50" s="139" t="s">
        <v>177</v>
      </c>
      <c r="C50" s="140"/>
      <c r="D50" s="141">
        <v>1</v>
      </c>
      <c r="E50" s="142" t="s">
        <v>178</v>
      </c>
      <c r="F50" s="142" t="s">
        <v>0</v>
      </c>
      <c r="G50" s="143" t="s">
        <v>64</v>
      </c>
      <c r="H50" s="142" t="s">
        <v>70</v>
      </c>
      <c r="I50" s="144" t="s">
        <v>160</v>
      </c>
      <c r="J50" s="144" t="s">
        <v>164</v>
      </c>
      <c r="K50" s="35">
        <v>0</v>
      </c>
      <c r="L50" s="145">
        <f>+IF(K50=0,0,IF(K50=1,Apoio!$H$2,IF(K50=2,Apoio!$H$3,IF(K50=3,Apoio!$H$4,IF(K50=4,Apoio!$H$5,0)))))</f>
        <v>0</v>
      </c>
      <c r="M50" s="35">
        <v>0</v>
      </c>
      <c r="N50" s="145">
        <f>+IF(M50=0,0,IF(M50=1,Apoio!$L$2,IF(M50=2,Apoio!$L$3,IF(M50=3,Apoio!$L$4,IF(M50=4,Apoio!$L$5,0)))))</f>
        <v>0</v>
      </c>
      <c r="O50" s="146">
        <v>2</v>
      </c>
      <c r="P50" s="147">
        <v>46037</v>
      </c>
      <c r="Q50" s="148">
        <f>+IF(OR(TB_Cockpit_2026[[#This Row],[SPRINT]]="",TB_Cockpit_2026[[#This Row],[SPRINT]]=0),"",TB_Cockpit_2026[[#This Row],[Dt. INÍCIO]]+(TB_Cockpit_2026[[#This Row],[SPRINT]]*15))</f>
        <v>46067</v>
      </c>
      <c r="R50" s="149">
        <f ca="1">+IF(TB_Cockpit_2026[[#This Row],[Dt. INÍCIO]]&lt;&gt;"",IF(TB_Cockpit_2026[[#This Row],[Dt. INÍCIO]]&gt;TODAY(),0,(TODAY()-TB_Cockpit_2026[[#This Row],[Dt. INÍCIO]])/(TB_Cockpit_2026[[#This Row],[TÉRMINO]]-TB_Cockpit_2026[[#This Row],[Dt. INÍCIO]])),"")</f>
        <v>0</v>
      </c>
      <c r="S50" s="150"/>
      <c r="T50" s="40">
        <f ca="1">+IF(TB_Cockpit_2026[[#This Row],[%Prev.]]=0,1,IF(TB_Cockpit_2026[[#This Row],[%Real]]&lt;TB_Cockpit_2026[[#This Row],[%Prev.]],0,IF(AND(TB_Cockpit_2026[[#This Row],[%Prev.]]&lt;&gt;"",TB_Cockpit_2026[[#This Row],[%Real]]=""),0,IF(TB_Cockpit_2026[[#This Row],[%Real]]&gt;=TB_Cockpit_2026[[#This Row],[%Prev.]],2,1))))</f>
        <v>1</v>
      </c>
      <c r="U5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5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5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0" s="120">
        <v>0</v>
      </c>
      <c r="AH50" s="17">
        <v>4</v>
      </c>
      <c r="AI50" s="17">
        <v>2</v>
      </c>
      <c r="AJ50" s="17">
        <v>2</v>
      </c>
      <c r="AK50" s="18">
        <f>+(TB_Cockpit_2026[[#This Row],[Encantar os Clientes]]*$AH$10)+(TB_Cockpit_2026[[#This Row],[Capital com Foco]]*$AJ$10)+(TB_Cockpit_2026[[#This Row],[Alta Rentabilidade]]*$AI$10)+IF(TB_Cockpit_2026[[#This Row],[u]]="u",4,0)</f>
        <v>12</v>
      </c>
      <c r="AL50" s="19">
        <v>4</v>
      </c>
      <c r="AM50" s="20">
        <v>4</v>
      </c>
      <c r="AN50" s="20">
        <v>4</v>
      </c>
      <c r="AO50" s="20">
        <v>4</v>
      </c>
      <c r="AP50" s="20">
        <v>4</v>
      </c>
      <c r="AQ50" s="21">
        <f>SUM(TB_Cockpit_2026[[#This Row],[K1]:[K5]])</f>
        <v>20</v>
      </c>
      <c r="AR50" s="27">
        <f>+TB_Cockpit_2026[[#This Row],[Relev.]]+TB_Cockpit_2026[[#This Row],[SCORE]]</f>
        <v>32</v>
      </c>
      <c r="AS5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50" s="39"/>
      <c r="AU50" s="184"/>
    </row>
    <row r="51" spans="2:47" ht="18" hidden="1" x14ac:dyDescent="0.2">
      <c r="B51" s="139" t="s">
        <v>179</v>
      </c>
      <c r="C51" s="140"/>
      <c r="D51" s="141">
        <v>1</v>
      </c>
      <c r="E51" s="142" t="s">
        <v>180</v>
      </c>
      <c r="F51" s="142" t="s">
        <v>2</v>
      </c>
      <c r="G51" s="143" t="s">
        <v>64</v>
      </c>
      <c r="H51" s="142" t="s">
        <v>70</v>
      </c>
      <c r="I51" s="144" t="s">
        <v>181</v>
      </c>
      <c r="J51" s="144" t="s">
        <v>182</v>
      </c>
      <c r="K51" s="35">
        <v>0</v>
      </c>
      <c r="L51" s="145">
        <f>+IF(K51=0,0,IF(K51=1,Apoio!$H$2,IF(K51=2,Apoio!$H$3,IF(K51=3,Apoio!$H$4,IF(K51=4,Apoio!$H$5,0)))))</f>
        <v>0</v>
      </c>
      <c r="M51" s="35">
        <v>1</v>
      </c>
      <c r="N51" s="145">
        <v>72000</v>
      </c>
      <c r="O51" s="146">
        <v>24</v>
      </c>
      <c r="P51" s="147">
        <v>46023</v>
      </c>
      <c r="Q51" s="148">
        <f>+IF(OR(TB_Cockpit_2026[[#This Row],[SPRINT]]="",TB_Cockpit_2026[[#This Row],[SPRINT]]=0),"",TB_Cockpit_2026[[#This Row],[Dt. INÍCIO]]+(TB_Cockpit_2026[[#This Row],[SPRINT]]*15))</f>
        <v>46383</v>
      </c>
      <c r="R51" s="149">
        <f ca="1">+IF(TB_Cockpit_2026[[#This Row],[Dt. INÍCIO]]&lt;&gt;"",IF(TB_Cockpit_2026[[#This Row],[Dt. INÍCIO]]&gt;TODAY(),0,(TODAY()-TB_Cockpit_2026[[#This Row],[Dt. INÍCIO]])/(TB_Cockpit_2026[[#This Row],[TÉRMINO]]-TB_Cockpit_2026[[#This Row],[Dt. INÍCIO]])),"")</f>
        <v>0</v>
      </c>
      <c r="S51" s="150"/>
      <c r="T51" s="40">
        <f ca="1">+IF(TB_Cockpit_2026[[#This Row],[%Prev.]]=0,1,IF(TB_Cockpit_2026[[#This Row],[%Real]]&lt;TB_Cockpit_2026[[#This Row],[%Prev.]],0,IF(AND(TB_Cockpit_2026[[#This Row],[%Prev.]]&lt;&gt;"",TB_Cockpit_2026[[#This Row],[%Real]]=""),0,IF(TB_Cockpit_2026[[#This Row],[%Real]]&gt;=TB_Cockpit_2026[[#This Row],[%Prev.]],2,1))))</f>
        <v>1</v>
      </c>
      <c r="U51"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1"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1"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1"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1"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51"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51"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51"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51"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51"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51"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51"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51" s="43">
        <v>0</v>
      </c>
      <c r="AH51" s="17">
        <v>1</v>
      </c>
      <c r="AI51" s="17">
        <v>1</v>
      </c>
      <c r="AJ51" s="17">
        <v>1</v>
      </c>
      <c r="AK51" s="18">
        <f>+(TB_Cockpit_2026[[#This Row],[Encantar os Clientes]]*$AH$10)+(TB_Cockpit_2026[[#This Row],[Capital com Foco]]*$AJ$10)+(TB_Cockpit_2026[[#This Row],[Alta Rentabilidade]]*$AI$10)+IF(TB_Cockpit_2026[[#This Row],[u]]="u",4,0)</f>
        <v>4</v>
      </c>
      <c r="AL51" s="19">
        <v>2</v>
      </c>
      <c r="AM51" s="20">
        <v>4</v>
      </c>
      <c r="AN51" s="20">
        <v>2</v>
      </c>
      <c r="AO51" s="20">
        <v>2</v>
      </c>
      <c r="AP51" s="20">
        <v>2</v>
      </c>
      <c r="AQ51" s="21">
        <f>SUM(TB_Cockpit_2026[[#This Row],[K1]:[K5]])</f>
        <v>12</v>
      </c>
      <c r="AR51" s="27">
        <f>+TB_Cockpit_2026[[#This Row],[Relev.]]+TB_Cockpit_2026[[#This Row],[SCORE]]</f>
        <v>16</v>
      </c>
      <c r="AS5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51" s="39"/>
      <c r="AU51" s="184"/>
    </row>
    <row r="52" spans="2:47" ht="17" hidden="1" x14ac:dyDescent="0.2">
      <c r="B52" s="139"/>
      <c r="C52" s="168"/>
      <c r="D52" s="141">
        <v>1</v>
      </c>
      <c r="E52" s="169" t="s">
        <v>183</v>
      </c>
      <c r="F52" s="142" t="s">
        <v>0</v>
      </c>
      <c r="G52" s="143" t="s">
        <v>77</v>
      </c>
      <c r="H52" s="142" t="s">
        <v>65</v>
      </c>
      <c r="I52" s="152" t="s">
        <v>181</v>
      </c>
      <c r="J52" s="144" t="s">
        <v>182</v>
      </c>
      <c r="K52" s="170"/>
      <c r="L52" s="171">
        <f>+IF(K52=0,0,IF(K52=1,Apoio!$H$2,IF(K52=2,Apoio!$H$3,IF(K52=3,Apoio!$H$4,IF(K52=4,Apoio!$H$5,0)))))</f>
        <v>0</v>
      </c>
      <c r="M52" s="170"/>
      <c r="N52" s="171">
        <v>7000</v>
      </c>
      <c r="O52" s="146">
        <v>17</v>
      </c>
      <c r="P52" s="147">
        <v>45839</v>
      </c>
      <c r="Q52" s="148">
        <v>46113</v>
      </c>
      <c r="R52" s="172">
        <f ca="1">+IF(TB_Cockpit_2026[[#This Row],[Dt. INÍCIO]]&lt;&gt;"",IF(TB_Cockpit_2026[[#This Row],[Dt. INÍCIO]]&gt;TODAY(),0,(TODAY()-TB_Cockpit_2026[[#This Row],[Dt. INÍCIO]])/(TB_Cockpit_2026[[#This Row],[TÉRMINO]]-TB_Cockpit_2026[[#This Row],[Dt. INÍCIO]])),"")</f>
        <v>0.58029197080291972</v>
      </c>
      <c r="S52" s="150">
        <v>0.54400000000000004</v>
      </c>
      <c r="T52" s="40">
        <f ca="1">+IF(TB_Cockpit_2026[[#This Row],[%Prev.]]=0,1,IF(TB_Cockpit_2026[[#This Row],[%Real]]&lt;TB_Cockpit_2026[[#This Row],[%Prev.]],0,IF(AND(TB_Cockpit_2026[[#This Row],[%Prev.]]&lt;&gt;"",TB_Cockpit_2026[[#This Row],[%Real]]=""),0,IF(TB_Cockpit_2026[[#This Row],[%Real]]&gt;=TB_Cockpit_2026[[#This Row],[%Prev.]],2,1))))</f>
        <v>0</v>
      </c>
      <c r="U5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2" s="177"/>
      <c r="AH52" s="173">
        <v>1</v>
      </c>
      <c r="AI52" s="173">
        <v>2</v>
      </c>
      <c r="AJ52" s="173">
        <v>2</v>
      </c>
      <c r="AK52" s="174">
        <f>+(TB_Cockpit_2026[[#This Row],[Encantar os Clientes]]*$AH$10)+(TB_Cockpit_2026[[#This Row],[Capital com Foco]]*$AJ$10)+(TB_Cockpit_2026[[#This Row],[Alta Rentabilidade]]*$AI$10)+IF(TB_Cockpit_2026[[#This Row],[u]]="u",4,0)</f>
        <v>6</v>
      </c>
      <c r="AL52" s="179">
        <v>0</v>
      </c>
      <c r="AM52" s="175">
        <v>0</v>
      </c>
      <c r="AN52" s="175">
        <v>0</v>
      </c>
      <c r="AO52" s="20">
        <v>3</v>
      </c>
      <c r="AP52" s="175">
        <v>3</v>
      </c>
      <c r="AQ52" s="176">
        <f>SUM(TB_Cockpit_2026[[#This Row],[K1]:[K5]])</f>
        <v>6</v>
      </c>
      <c r="AR52" s="27">
        <f>+TB_Cockpit_2026[[#This Row],[Relev.]]+TB_Cockpit_2026[[#This Row],[SCORE]]</f>
        <v>12</v>
      </c>
      <c r="AS5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2" s="39"/>
      <c r="AU52" s="184"/>
    </row>
    <row r="53" spans="2:47" ht="19" hidden="1" x14ac:dyDescent="0.2">
      <c r="B53" s="139" t="s">
        <v>184</v>
      </c>
      <c r="C53" s="140" t="s">
        <v>18</v>
      </c>
      <c r="D53" s="141">
        <v>1</v>
      </c>
      <c r="E53" s="142" t="s">
        <v>185</v>
      </c>
      <c r="F53" s="142" t="s">
        <v>0</v>
      </c>
      <c r="G53" s="143" t="s">
        <v>77</v>
      </c>
      <c r="H53" s="142" t="s">
        <v>148</v>
      </c>
      <c r="I53" s="144" t="s">
        <v>181</v>
      </c>
      <c r="J53" s="144" t="s">
        <v>182</v>
      </c>
      <c r="K53" s="35">
        <v>0</v>
      </c>
      <c r="L53" s="145">
        <f>+IF(K53=0,0,IF(K53=1,Apoio!$H$2,IF(K53=2,Apoio!$H$3,IF(K53=3,Apoio!$H$4,IF(K53=4,Apoio!$H$5,0)))))</f>
        <v>0</v>
      </c>
      <c r="M53" s="35">
        <v>0</v>
      </c>
      <c r="N53" s="145">
        <v>27000</v>
      </c>
      <c r="O53" s="146">
        <v>24</v>
      </c>
      <c r="P53" s="147">
        <v>46023</v>
      </c>
      <c r="Q53" s="148">
        <f>+IF(OR(TB_Cockpit_2026[[#This Row],[SPRINT]]="",TB_Cockpit_2026[[#This Row],[SPRINT]]=0),"",TB_Cockpit_2026[[#This Row],[Dt. INÍCIO]]+(TB_Cockpit_2026[[#This Row],[SPRINT]]*15))</f>
        <v>46383</v>
      </c>
      <c r="R53" s="149">
        <f ca="1">+IF(TB_Cockpit_2026[[#This Row],[Dt. INÍCIO]]&lt;&gt;"",IF(TB_Cockpit_2026[[#This Row],[Dt. INÍCIO]]&gt;TODAY(),0,(TODAY()-TB_Cockpit_2026[[#This Row],[Dt. INÍCIO]])/(TB_Cockpit_2026[[#This Row],[TÉRMINO]]-TB_Cockpit_2026[[#This Row],[Dt. INÍCIO]])),"")</f>
        <v>0</v>
      </c>
      <c r="S53" s="150"/>
      <c r="T53" s="40">
        <f ca="1">+IF(TB_Cockpit_2026[[#This Row],[%Prev.]]=0,1,IF(TB_Cockpit_2026[[#This Row],[%Real]]&lt;TB_Cockpit_2026[[#This Row],[%Prev.]],0,IF(AND(TB_Cockpit_2026[[#This Row],[%Prev.]]&lt;&gt;"",TB_Cockpit_2026[[#This Row],[%Real]]=""),0,IF(TB_Cockpit_2026[[#This Row],[%Real]]&gt;=TB_Cockpit_2026[[#This Row],[%Prev.]],2,1))))</f>
        <v>1</v>
      </c>
      <c r="U5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5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5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5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5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5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5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5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53" s="43">
        <v>0</v>
      </c>
      <c r="AH53" s="17">
        <v>1</v>
      </c>
      <c r="AI53" s="17">
        <v>2</v>
      </c>
      <c r="AJ53" s="17">
        <v>3</v>
      </c>
      <c r="AK53" s="18">
        <f>+(TB_Cockpit_2026[[#This Row],[Encantar os Clientes]]*$AH$10)+(TB_Cockpit_2026[[#This Row],[Capital com Foco]]*$AJ$10)+(TB_Cockpit_2026[[#This Row],[Alta Rentabilidade]]*$AI$10)+IF(TB_Cockpit_2026[[#This Row],[u]]="u",4,0)</f>
        <v>11</v>
      </c>
      <c r="AL53" s="19">
        <v>2</v>
      </c>
      <c r="AM53" s="20">
        <v>2</v>
      </c>
      <c r="AN53" s="20">
        <v>2</v>
      </c>
      <c r="AO53" s="20">
        <v>4</v>
      </c>
      <c r="AP53" s="20">
        <v>2</v>
      </c>
      <c r="AQ53" s="21">
        <f>SUM(TB_Cockpit_2026[[#This Row],[K1]:[K5]])</f>
        <v>12</v>
      </c>
      <c r="AR53" s="27">
        <f>+TB_Cockpit_2026[[#This Row],[Relev.]]+TB_Cockpit_2026[[#This Row],[SCORE]]</f>
        <v>23</v>
      </c>
      <c r="AS5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53" s="39"/>
      <c r="AU53" s="184"/>
    </row>
    <row r="54" spans="2:47" ht="17" hidden="1" x14ac:dyDescent="0.2">
      <c r="B54" s="139"/>
      <c r="C54" s="168"/>
      <c r="D54" s="141">
        <v>1</v>
      </c>
      <c r="E54" s="169" t="s">
        <v>186</v>
      </c>
      <c r="F54" s="142" t="s">
        <v>2</v>
      </c>
      <c r="G54" s="143" t="s">
        <v>64</v>
      </c>
      <c r="H54" s="142" t="s">
        <v>78</v>
      </c>
      <c r="I54" s="152" t="s">
        <v>181</v>
      </c>
      <c r="J54" s="144" t="s">
        <v>182</v>
      </c>
      <c r="K54" s="170"/>
      <c r="L54" s="171">
        <f>+IF(K54=0,0,IF(K54=1,Apoio!$H$2,IF(K54=2,Apoio!$H$3,IF(K54=3,Apoio!$H$4,IF(K54=4,Apoio!$H$5,0)))))</f>
        <v>0</v>
      </c>
      <c r="M54" s="170"/>
      <c r="N54" s="171">
        <v>6000</v>
      </c>
      <c r="O54" s="146">
        <v>15</v>
      </c>
      <c r="P54" s="147">
        <v>45839</v>
      </c>
      <c r="Q54" s="148">
        <v>46113</v>
      </c>
      <c r="R54" s="172">
        <f ca="1">+IF(TB_Cockpit_2026[[#This Row],[Dt. INÍCIO]]&lt;&gt;"",IF(TB_Cockpit_2026[[#This Row],[Dt. INÍCIO]]&gt;TODAY(),0,(TODAY()-TB_Cockpit_2026[[#This Row],[Dt. INÍCIO]])/(TB_Cockpit_2026[[#This Row],[TÉRMINO]]-TB_Cockpit_2026[[#This Row],[Dt. INÍCIO]])),"")</f>
        <v>0.58029197080291972</v>
      </c>
      <c r="S54" s="150">
        <v>0.54400000000000004</v>
      </c>
      <c r="T54" s="40">
        <f ca="1">+IF(TB_Cockpit_2026[[#This Row],[%Prev.]]=0,1,IF(TB_Cockpit_2026[[#This Row],[%Real]]&lt;TB_Cockpit_2026[[#This Row],[%Prev.]],0,IF(AND(TB_Cockpit_2026[[#This Row],[%Prev.]]&lt;&gt;"",TB_Cockpit_2026[[#This Row],[%Real]]=""),0,IF(TB_Cockpit_2026[[#This Row],[%Real]]&gt;=TB_Cockpit_2026[[#This Row],[%Prev.]],2,1))))</f>
        <v>0</v>
      </c>
      <c r="U5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4" s="177"/>
      <c r="AH54" s="173">
        <v>1</v>
      </c>
      <c r="AI54" s="173">
        <v>1</v>
      </c>
      <c r="AJ54" s="173">
        <v>0</v>
      </c>
      <c r="AK54" s="174">
        <f>+(TB_Cockpit_2026[[#This Row],[Encantar os Clientes]]*$AH$10)+(TB_Cockpit_2026[[#This Row],[Capital com Foco]]*$AJ$10)+(TB_Cockpit_2026[[#This Row],[Alta Rentabilidade]]*$AI$10)+IF(TB_Cockpit_2026[[#This Row],[u]]="u",4,0)</f>
        <v>3</v>
      </c>
      <c r="AL54" s="179">
        <v>0</v>
      </c>
      <c r="AM54" s="175">
        <v>0</v>
      </c>
      <c r="AN54" s="175">
        <v>0</v>
      </c>
      <c r="AO54" s="20">
        <v>3</v>
      </c>
      <c r="AP54" s="175">
        <v>0</v>
      </c>
      <c r="AQ54" s="176">
        <f>SUM(TB_Cockpit_2026[[#This Row],[K1]:[K5]])</f>
        <v>3</v>
      </c>
      <c r="AR54" s="27">
        <f>+TB_Cockpit_2026[[#This Row],[Relev.]]+TB_Cockpit_2026[[#This Row],[SCORE]]</f>
        <v>6</v>
      </c>
      <c r="AS5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4" s="39"/>
      <c r="AU54" s="184"/>
    </row>
    <row r="55" spans="2:47" ht="18" hidden="1" x14ac:dyDescent="0.2">
      <c r="B55" s="139" t="s">
        <v>187</v>
      </c>
      <c r="C55" s="140"/>
      <c r="D55" s="141">
        <v>1</v>
      </c>
      <c r="E55" s="142" t="s">
        <v>188</v>
      </c>
      <c r="F55" s="142" t="s">
        <v>2</v>
      </c>
      <c r="G55" s="143" t="s">
        <v>77</v>
      </c>
      <c r="H55" s="142" t="s">
        <v>70</v>
      </c>
      <c r="I55" s="144" t="s">
        <v>181</v>
      </c>
      <c r="J55" s="144" t="s">
        <v>182</v>
      </c>
      <c r="K55" s="35">
        <v>0</v>
      </c>
      <c r="L55" s="145">
        <f>+IF(K55=0,0,IF(K55=1,Apoio!$H$2,IF(K55=2,Apoio!$H$3,IF(K55=3,Apoio!$H$4,IF(K55=4,Apoio!$H$5,0)))))</f>
        <v>0</v>
      </c>
      <c r="M55" s="35">
        <v>0</v>
      </c>
      <c r="N55" s="145">
        <f>+IF(M55=0,0,IF(M55=1,Apoio!$L$2,IF(M55=2,Apoio!$L$3,IF(M55=3,Apoio!$L$4,IF(M55=4,Apoio!$L$5,0)))))</f>
        <v>0</v>
      </c>
      <c r="O55" s="146">
        <v>22</v>
      </c>
      <c r="P55" s="147">
        <v>46054</v>
      </c>
      <c r="Q55" s="148">
        <f>+IF(OR(TB_Cockpit_2026[[#This Row],[SPRINT]]="",TB_Cockpit_2026[[#This Row],[SPRINT]]=0),"",TB_Cockpit_2026[[#This Row],[Dt. INÍCIO]]+(TB_Cockpit_2026[[#This Row],[SPRINT]]*15))</f>
        <v>46384</v>
      </c>
      <c r="R55" s="149">
        <f ca="1">+IF(TB_Cockpit_2026[[#This Row],[Dt. INÍCIO]]&lt;&gt;"",IF(TB_Cockpit_2026[[#This Row],[Dt. INÍCIO]]&gt;TODAY(),0,(TODAY()-TB_Cockpit_2026[[#This Row],[Dt. INÍCIO]])/(TB_Cockpit_2026[[#This Row],[TÉRMINO]]-TB_Cockpit_2026[[#This Row],[Dt. INÍCIO]])),"")</f>
        <v>0</v>
      </c>
      <c r="S55" s="150"/>
      <c r="T55" s="40">
        <f ca="1">+IF(TB_Cockpit_2026[[#This Row],[%Prev.]]=0,1,IF(TB_Cockpit_2026[[#This Row],[%Real]]&lt;TB_Cockpit_2026[[#This Row],[%Prev.]],0,IF(AND(TB_Cockpit_2026[[#This Row],[%Prev.]]&lt;&gt;"",TB_Cockpit_2026[[#This Row],[%Real]]=""),0,IF(TB_Cockpit_2026[[#This Row],[%Real]]&gt;=TB_Cockpit_2026[[#This Row],[%Prev.]],2,1))))</f>
        <v>1</v>
      </c>
      <c r="U5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5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5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5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5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5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5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5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5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55" s="43">
        <v>0</v>
      </c>
      <c r="AH55" s="17">
        <v>0</v>
      </c>
      <c r="AI55" s="17">
        <v>0</v>
      </c>
      <c r="AJ55" s="17">
        <v>0</v>
      </c>
      <c r="AK55" s="18">
        <f>+(TB_Cockpit_2026[[#This Row],[Encantar os Clientes]]*$AH$10)+(TB_Cockpit_2026[[#This Row],[Capital com Foco]]*$AJ$10)+(TB_Cockpit_2026[[#This Row],[Alta Rentabilidade]]*$AI$10)+IF(TB_Cockpit_2026[[#This Row],[u]]="u",4,0)</f>
        <v>0</v>
      </c>
      <c r="AL55" s="19">
        <v>0</v>
      </c>
      <c r="AM55" s="20">
        <v>0</v>
      </c>
      <c r="AN55" s="20">
        <v>0</v>
      </c>
      <c r="AO55" s="20">
        <v>0</v>
      </c>
      <c r="AP55" s="20">
        <v>0</v>
      </c>
      <c r="AQ55" s="21">
        <f>SUM(TB_Cockpit_2026[[#This Row],[K1]:[K5]])</f>
        <v>0</v>
      </c>
      <c r="AR55" s="27">
        <f>+TB_Cockpit_2026[[#This Row],[Relev.]]+TB_Cockpit_2026[[#This Row],[SCORE]]</f>
        <v>0</v>
      </c>
      <c r="AS5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5" s="39"/>
      <c r="AU55" s="184"/>
    </row>
    <row r="56" spans="2:47" ht="17" hidden="1" x14ac:dyDescent="0.2">
      <c r="B56" s="139"/>
      <c r="C56" s="168"/>
      <c r="D56" s="141">
        <v>1</v>
      </c>
      <c r="E56" s="169" t="s">
        <v>189</v>
      </c>
      <c r="F56" s="142" t="s">
        <v>0</v>
      </c>
      <c r="G56" s="143" t="s">
        <v>77</v>
      </c>
      <c r="H56" s="142" t="s">
        <v>65</v>
      </c>
      <c r="I56" s="152" t="s">
        <v>181</v>
      </c>
      <c r="J56" s="144" t="s">
        <v>182</v>
      </c>
      <c r="K56" s="170"/>
      <c r="L56" s="171">
        <f>+IF(K56=0,0,IF(K56=1,Apoio!$H$2,IF(K56=2,Apoio!$H$3,IF(K56=3,Apoio!$H$4,IF(K56=4,Apoio!$H$5,0)))))</f>
        <v>0</v>
      </c>
      <c r="M56" s="170"/>
      <c r="N56" s="171">
        <v>7000</v>
      </c>
      <c r="O56" s="146">
        <v>18</v>
      </c>
      <c r="P56" s="147">
        <v>45843</v>
      </c>
      <c r="Q56" s="148">
        <v>46117</v>
      </c>
      <c r="R56" s="172">
        <f ca="1">+IF(TB_Cockpit_2026[[#This Row],[Dt. INÍCIO]]&lt;&gt;"",IF(TB_Cockpit_2026[[#This Row],[Dt. INÍCIO]]&gt;TODAY(),0,(TODAY()-TB_Cockpit_2026[[#This Row],[Dt. INÍCIO]])/(TB_Cockpit_2026[[#This Row],[TÉRMINO]]-TB_Cockpit_2026[[#This Row],[Dt. INÍCIO]])),"")</f>
        <v>0.56569343065693434</v>
      </c>
      <c r="S56" s="150"/>
      <c r="T56" s="40">
        <f ca="1">+IF(TB_Cockpit_2026[[#This Row],[%Prev.]]=0,1,IF(TB_Cockpit_2026[[#This Row],[%Real]]&lt;TB_Cockpit_2026[[#This Row],[%Prev.]],0,IF(AND(TB_Cockpit_2026[[#This Row],[%Prev.]]&lt;&gt;"",TB_Cockpit_2026[[#This Row],[%Real]]=""),0,IF(TB_Cockpit_2026[[#This Row],[%Real]]&gt;=TB_Cockpit_2026[[#This Row],[%Prev.]],2,1))))</f>
        <v>0</v>
      </c>
      <c r="U5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5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6" s="177"/>
      <c r="AH56" s="173">
        <v>1</v>
      </c>
      <c r="AI56" s="173">
        <v>1</v>
      </c>
      <c r="AJ56" s="173">
        <v>1</v>
      </c>
      <c r="AK56" s="174">
        <f>+(TB_Cockpit_2026[[#This Row],[Encantar os Clientes]]*$AH$10)+(TB_Cockpit_2026[[#This Row],[Capital com Foco]]*$AJ$10)+(TB_Cockpit_2026[[#This Row],[Alta Rentabilidade]]*$AI$10)+IF(TB_Cockpit_2026[[#This Row],[u]]="u",4,0)</f>
        <v>4</v>
      </c>
      <c r="AL56" s="179">
        <v>1</v>
      </c>
      <c r="AM56" s="175">
        <v>1</v>
      </c>
      <c r="AN56" s="175">
        <v>1</v>
      </c>
      <c r="AO56" s="20">
        <v>1</v>
      </c>
      <c r="AP56" s="175">
        <v>1</v>
      </c>
      <c r="AQ56" s="176">
        <f>SUM(TB_Cockpit_2026[[#This Row],[K1]:[K5]])</f>
        <v>5</v>
      </c>
      <c r="AR56" s="27">
        <f>+TB_Cockpit_2026[[#This Row],[Relev.]]+TB_Cockpit_2026[[#This Row],[SCORE]]</f>
        <v>9</v>
      </c>
      <c r="AS5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6" s="39"/>
      <c r="AU56" s="184"/>
    </row>
    <row r="57" spans="2:47" ht="18" hidden="1" x14ac:dyDescent="0.2">
      <c r="B57" s="139" t="s">
        <v>190</v>
      </c>
      <c r="C57" s="140"/>
      <c r="D57" s="141">
        <v>1</v>
      </c>
      <c r="E57" s="142" t="s">
        <v>191</v>
      </c>
      <c r="F57" s="142" t="s">
        <v>2</v>
      </c>
      <c r="G57" s="143" t="s">
        <v>64</v>
      </c>
      <c r="H57" s="142" t="s">
        <v>70</v>
      </c>
      <c r="I57" s="144" t="s">
        <v>192</v>
      </c>
      <c r="J57" s="144" t="s">
        <v>193</v>
      </c>
      <c r="K57" s="35">
        <v>0</v>
      </c>
      <c r="L57" s="145">
        <f>+IF(K57=0,0,IF(K57=1,Apoio!$H$2,IF(K57=2,Apoio!$H$3,IF(K57=3,Apoio!$H$4,IF(K57=4,Apoio!$H$5,0)))))</f>
        <v>0</v>
      </c>
      <c r="M57" s="35">
        <v>0</v>
      </c>
      <c r="N57" s="145">
        <v>5000</v>
      </c>
      <c r="O57" s="146">
        <v>3</v>
      </c>
      <c r="P57" s="147">
        <v>46023</v>
      </c>
      <c r="Q57" s="148">
        <f>+IF(OR(TB_Cockpit_2026[[#This Row],[SPRINT]]="",TB_Cockpit_2026[[#This Row],[SPRINT]]=0),"",TB_Cockpit_2026[[#This Row],[Dt. INÍCIO]]+(TB_Cockpit_2026[[#This Row],[SPRINT]]*15))</f>
        <v>46068</v>
      </c>
      <c r="R57" s="149">
        <f ca="1">+IF(TB_Cockpit_2026[[#This Row],[Dt. INÍCIO]]&lt;&gt;"",IF(TB_Cockpit_2026[[#This Row],[Dt. INÍCIO]]&gt;TODAY(),0,(TODAY()-TB_Cockpit_2026[[#This Row],[Dt. INÍCIO]])/(TB_Cockpit_2026[[#This Row],[TÉRMINO]]-TB_Cockpit_2026[[#This Row],[Dt. INÍCIO]])),"")</f>
        <v>0</v>
      </c>
      <c r="S57" s="150"/>
      <c r="T57" s="40">
        <f ca="1">+IF(TB_Cockpit_2026[[#This Row],[%Prev.]]=0,1,IF(TB_Cockpit_2026[[#This Row],[%Real]]&lt;TB_Cockpit_2026[[#This Row],[%Prev.]],0,IF(AND(TB_Cockpit_2026[[#This Row],[%Prev.]]&lt;&gt;"",TB_Cockpit_2026[[#This Row],[%Real]]=""),0,IF(TB_Cockpit_2026[[#This Row],[%Real]]&gt;=TB_Cockpit_2026[[#This Row],[%Prev.]],2,1))))</f>
        <v>1</v>
      </c>
      <c r="U5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5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5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5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7" s="43">
        <v>0</v>
      </c>
      <c r="AH57" s="17">
        <v>1</v>
      </c>
      <c r="AI57" s="17">
        <v>0</v>
      </c>
      <c r="AJ57" s="17">
        <v>0</v>
      </c>
      <c r="AK57" s="18">
        <f>+(TB_Cockpit_2026[[#This Row],[Encantar os Clientes]]*$AH$10)+(TB_Cockpit_2026[[#This Row],[Capital com Foco]]*$AJ$10)+(TB_Cockpit_2026[[#This Row],[Alta Rentabilidade]]*$AI$10)+IF(TB_Cockpit_2026[[#This Row],[u]]="u",4,0)</f>
        <v>2</v>
      </c>
      <c r="AL57" s="19">
        <v>3</v>
      </c>
      <c r="AM57" s="20">
        <v>3</v>
      </c>
      <c r="AN57" s="20">
        <v>3</v>
      </c>
      <c r="AO57" s="20">
        <v>3</v>
      </c>
      <c r="AP57" s="20">
        <v>0</v>
      </c>
      <c r="AQ57" s="21">
        <f>SUM(TB_Cockpit_2026[[#This Row],[K1]:[K5]])</f>
        <v>12</v>
      </c>
      <c r="AR57" s="27">
        <f>+TB_Cockpit_2026[[#This Row],[Relev.]]+TB_Cockpit_2026[[#This Row],[SCORE]]</f>
        <v>14</v>
      </c>
      <c r="AS5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57" s="39"/>
      <c r="AU57" s="184"/>
    </row>
    <row r="58" spans="2:47" ht="18" hidden="1" x14ac:dyDescent="0.2">
      <c r="B58" s="139" t="s">
        <v>194</v>
      </c>
      <c r="C58" s="140"/>
      <c r="D58" s="141">
        <v>1</v>
      </c>
      <c r="E58" s="142" t="s">
        <v>195</v>
      </c>
      <c r="F58" s="142" t="s">
        <v>2</v>
      </c>
      <c r="G58" s="143" t="s">
        <v>77</v>
      </c>
      <c r="H58" s="142" t="s">
        <v>148</v>
      </c>
      <c r="I58" s="144" t="s">
        <v>192</v>
      </c>
      <c r="J58" s="144" t="s">
        <v>196</v>
      </c>
      <c r="K58" s="35">
        <v>0</v>
      </c>
      <c r="L58" s="145">
        <f>+IF(K58=0,0,IF(K58=1,Apoio!$H$2,IF(K58=2,Apoio!$H$3,IF(K58=3,Apoio!$H$4,IF(K58=4,Apoio!$H$5,0)))))</f>
        <v>0</v>
      </c>
      <c r="M58" s="35">
        <v>0</v>
      </c>
      <c r="N58" s="145">
        <v>5000</v>
      </c>
      <c r="O58" s="146">
        <v>2</v>
      </c>
      <c r="P58" s="147">
        <v>46054</v>
      </c>
      <c r="Q58" s="148">
        <f>+IF(OR(TB_Cockpit_2026[[#This Row],[SPRINT]]="",TB_Cockpit_2026[[#This Row],[SPRINT]]=0),"",TB_Cockpit_2026[[#This Row],[Dt. INÍCIO]]+(TB_Cockpit_2026[[#This Row],[SPRINT]]*15))</f>
        <v>46084</v>
      </c>
      <c r="R58" s="149">
        <f ca="1">+IF(TB_Cockpit_2026[[#This Row],[Dt. INÍCIO]]&lt;&gt;"",IF(TB_Cockpit_2026[[#This Row],[Dt. INÍCIO]]&gt;TODAY(),0,(TODAY()-TB_Cockpit_2026[[#This Row],[Dt. INÍCIO]])/(TB_Cockpit_2026[[#This Row],[TÉRMINO]]-TB_Cockpit_2026[[#This Row],[Dt. INÍCIO]])),"")</f>
        <v>0</v>
      </c>
      <c r="S58" s="150"/>
      <c r="T58" s="40">
        <f ca="1">+IF(TB_Cockpit_2026[[#This Row],[%Prev.]]=0,1,IF(TB_Cockpit_2026[[#This Row],[%Real]]&lt;TB_Cockpit_2026[[#This Row],[%Prev.]],0,IF(AND(TB_Cockpit_2026[[#This Row],[%Prev.]]&lt;&gt;"",TB_Cockpit_2026[[#This Row],[%Real]]=""),0,IF(TB_Cockpit_2026[[#This Row],[%Real]]&gt;=TB_Cockpit_2026[[#This Row],[%Prev.]],2,1))))</f>
        <v>1</v>
      </c>
      <c r="U5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5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5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5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8" s="43">
        <v>0</v>
      </c>
      <c r="AH58" s="17">
        <v>1</v>
      </c>
      <c r="AI58" s="17">
        <v>0</v>
      </c>
      <c r="AJ58" s="17">
        <v>1</v>
      </c>
      <c r="AK58" s="18">
        <f>+(TB_Cockpit_2026[[#This Row],[Encantar os Clientes]]*$AH$10)+(TB_Cockpit_2026[[#This Row],[Capital com Foco]]*$AJ$10)+(TB_Cockpit_2026[[#This Row],[Alta Rentabilidade]]*$AI$10)+IF(TB_Cockpit_2026[[#This Row],[u]]="u",4,0)</f>
        <v>3</v>
      </c>
      <c r="AL58" s="19">
        <v>0</v>
      </c>
      <c r="AM58" s="20">
        <v>0</v>
      </c>
      <c r="AN58" s="20">
        <v>0</v>
      </c>
      <c r="AO58" s="20">
        <v>2</v>
      </c>
      <c r="AP58" s="20">
        <v>0</v>
      </c>
      <c r="AQ58" s="21">
        <f>SUM(TB_Cockpit_2026[[#This Row],[K1]:[K5]])</f>
        <v>2</v>
      </c>
      <c r="AR58" s="27">
        <f>+TB_Cockpit_2026[[#This Row],[Relev.]]+TB_Cockpit_2026[[#This Row],[SCORE]]</f>
        <v>5</v>
      </c>
      <c r="AS5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8" s="39"/>
      <c r="AU58" s="184"/>
    </row>
    <row r="59" spans="2:47" ht="18" hidden="1" x14ac:dyDescent="0.2">
      <c r="B59" s="139" t="s">
        <v>197</v>
      </c>
      <c r="C59" s="140"/>
      <c r="D59" s="141">
        <v>1</v>
      </c>
      <c r="E59" s="142" t="s">
        <v>198</v>
      </c>
      <c r="F59" s="142" t="s">
        <v>2</v>
      </c>
      <c r="G59" s="143" t="s">
        <v>64</v>
      </c>
      <c r="H59" s="142" t="s">
        <v>148</v>
      </c>
      <c r="I59" s="144" t="s">
        <v>192</v>
      </c>
      <c r="J59" s="144" t="s">
        <v>196</v>
      </c>
      <c r="K59" s="35">
        <v>0</v>
      </c>
      <c r="L59" s="145">
        <f>+IF(K59=0,0,IF(K59=1,Apoio!$H$2,IF(K59=2,Apoio!$H$3,IF(K59=3,Apoio!$H$4,IF(K59=4,Apoio!$H$5,0)))))</f>
        <v>0</v>
      </c>
      <c r="M59" s="35">
        <v>0</v>
      </c>
      <c r="N59" s="145">
        <v>15000</v>
      </c>
      <c r="O59" s="146">
        <v>2</v>
      </c>
      <c r="P59" s="147">
        <v>46082</v>
      </c>
      <c r="Q59" s="148">
        <f>+IF(OR(TB_Cockpit_2026[[#This Row],[SPRINT]]="",TB_Cockpit_2026[[#This Row],[SPRINT]]=0),"",TB_Cockpit_2026[[#This Row],[Dt. INÍCIO]]+(TB_Cockpit_2026[[#This Row],[SPRINT]]*15))</f>
        <v>46112</v>
      </c>
      <c r="R59" s="149">
        <f ca="1">+IF(TB_Cockpit_2026[[#This Row],[Dt. INÍCIO]]&lt;&gt;"",IF(TB_Cockpit_2026[[#This Row],[Dt. INÍCIO]]&gt;TODAY(),0,(TODAY()-TB_Cockpit_2026[[#This Row],[Dt. INÍCIO]])/(TB_Cockpit_2026[[#This Row],[TÉRMINO]]-TB_Cockpit_2026[[#This Row],[Dt. INÍCIO]])),"")</f>
        <v>0</v>
      </c>
      <c r="S59" s="150"/>
      <c r="T59" s="40">
        <f ca="1">+IF(TB_Cockpit_2026[[#This Row],[%Prev.]]=0,1,IF(TB_Cockpit_2026[[#This Row],[%Real]]&lt;TB_Cockpit_2026[[#This Row],[%Prev.]],0,IF(AND(TB_Cockpit_2026[[#This Row],[%Prev.]]&lt;&gt;"",TB_Cockpit_2026[[#This Row],[%Real]]=""),0,IF(TB_Cockpit_2026[[#This Row],[%Real]]&gt;=TB_Cockpit_2026[[#This Row],[%Prev.]],2,1))))</f>
        <v>1</v>
      </c>
      <c r="U5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5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5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5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5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5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5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5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5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5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5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5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59" s="43">
        <v>0</v>
      </c>
      <c r="AH59" s="17">
        <v>0</v>
      </c>
      <c r="AI59" s="17">
        <v>0</v>
      </c>
      <c r="AJ59" s="17">
        <v>0</v>
      </c>
      <c r="AK59" s="18">
        <f>+(TB_Cockpit_2026[[#This Row],[Encantar os Clientes]]*$AH$10)+(TB_Cockpit_2026[[#This Row],[Capital com Foco]]*$AJ$10)+(TB_Cockpit_2026[[#This Row],[Alta Rentabilidade]]*$AI$10)+IF(TB_Cockpit_2026[[#This Row],[u]]="u",4,0)</f>
        <v>0</v>
      </c>
      <c r="AL59" s="19">
        <v>0</v>
      </c>
      <c r="AM59" s="20">
        <v>0</v>
      </c>
      <c r="AN59" s="20">
        <v>0</v>
      </c>
      <c r="AO59" s="20">
        <v>3</v>
      </c>
      <c r="AP59" s="20">
        <v>0</v>
      </c>
      <c r="AQ59" s="21">
        <f>SUM(TB_Cockpit_2026[[#This Row],[K1]:[K5]])</f>
        <v>3</v>
      </c>
      <c r="AR59" s="27">
        <f>+TB_Cockpit_2026[[#This Row],[Relev.]]+TB_Cockpit_2026[[#This Row],[SCORE]]</f>
        <v>3</v>
      </c>
      <c r="AS5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59" s="39"/>
      <c r="AU59" s="184"/>
    </row>
    <row r="60" spans="2:47" ht="18" hidden="1" x14ac:dyDescent="0.2">
      <c r="B60" s="139" t="s">
        <v>199</v>
      </c>
      <c r="C60" s="140"/>
      <c r="D60" s="141">
        <v>1</v>
      </c>
      <c r="E60" s="142" t="s">
        <v>200</v>
      </c>
      <c r="F60" s="142" t="s">
        <v>2</v>
      </c>
      <c r="G60" s="143" t="s">
        <v>64</v>
      </c>
      <c r="H60" s="142" t="s">
        <v>148</v>
      </c>
      <c r="I60" s="144" t="s">
        <v>192</v>
      </c>
      <c r="J60" s="144" t="s">
        <v>196</v>
      </c>
      <c r="K60" s="35">
        <v>0</v>
      </c>
      <c r="L60" s="145">
        <f>+IF(K60=0,0,IF(K60=1,Apoio!$H$2,IF(K60=2,Apoio!$H$3,IF(K60=3,Apoio!$H$4,IF(K60=4,Apoio!$H$5,0)))))</f>
        <v>0</v>
      </c>
      <c r="M60" s="35">
        <v>0</v>
      </c>
      <c r="N60" s="145">
        <f>+IF(M60=0,0,IF(M60=1,Apoio!$L$2,IF(M60=2,Apoio!$L$3,IF(M60=3,Apoio!$L$4,IF(M60=4,Apoio!$L$5,0)))))</f>
        <v>0</v>
      </c>
      <c r="O60" s="146">
        <v>2</v>
      </c>
      <c r="P60" s="147">
        <v>46082</v>
      </c>
      <c r="Q60" s="148">
        <f>+IF(OR(TB_Cockpit_2026[[#This Row],[SPRINT]]="",TB_Cockpit_2026[[#This Row],[SPRINT]]=0),"",TB_Cockpit_2026[[#This Row],[Dt. INÍCIO]]+(TB_Cockpit_2026[[#This Row],[SPRINT]]*15))</f>
        <v>46112</v>
      </c>
      <c r="R60" s="149">
        <f ca="1">+IF(TB_Cockpit_2026[[#This Row],[Dt. INÍCIO]]&lt;&gt;"",IF(TB_Cockpit_2026[[#This Row],[Dt. INÍCIO]]&gt;TODAY(),0,(TODAY()-TB_Cockpit_2026[[#This Row],[Dt. INÍCIO]])/(TB_Cockpit_2026[[#This Row],[TÉRMINO]]-TB_Cockpit_2026[[#This Row],[Dt. INÍCIO]])),"")</f>
        <v>0</v>
      </c>
      <c r="S60" s="150"/>
      <c r="T60" s="40">
        <f ca="1">+IF(TB_Cockpit_2026[[#This Row],[%Prev.]]=0,1,IF(TB_Cockpit_2026[[#This Row],[%Real]]&lt;TB_Cockpit_2026[[#This Row],[%Prev.]],0,IF(AND(TB_Cockpit_2026[[#This Row],[%Prev.]]&lt;&gt;"",TB_Cockpit_2026[[#This Row],[%Real]]=""),0,IF(TB_Cockpit_2026[[#This Row],[%Real]]&gt;=TB_Cockpit_2026[[#This Row],[%Prev.]],2,1))))</f>
        <v>1</v>
      </c>
      <c r="U6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6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6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6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0" s="43">
        <v>0</v>
      </c>
      <c r="AH60" s="17">
        <v>1</v>
      </c>
      <c r="AI60" s="17">
        <v>0</v>
      </c>
      <c r="AJ60" s="17">
        <v>0</v>
      </c>
      <c r="AK60" s="18">
        <f>+(TB_Cockpit_2026[[#This Row],[Encantar os Clientes]]*$AH$10)+(TB_Cockpit_2026[[#This Row],[Capital com Foco]]*$AJ$10)+(TB_Cockpit_2026[[#This Row],[Alta Rentabilidade]]*$AI$10)+IF(TB_Cockpit_2026[[#This Row],[u]]="u",4,0)</f>
        <v>2</v>
      </c>
      <c r="AL60" s="19">
        <v>0</v>
      </c>
      <c r="AM60" s="20">
        <v>0</v>
      </c>
      <c r="AN60" s="20">
        <v>0</v>
      </c>
      <c r="AO60" s="20">
        <v>3</v>
      </c>
      <c r="AP60" s="20">
        <v>0</v>
      </c>
      <c r="AQ60" s="21">
        <f>SUM(TB_Cockpit_2026[[#This Row],[K1]:[K5]])</f>
        <v>3</v>
      </c>
      <c r="AR60" s="27">
        <f>+TB_Cockpit_2026[[#This Row],[Relev.]]+TB_Cockpit_2026[[#This Row],[SCORE]]</f>
        <v>5</v>
      </c>
      <c r="AS6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60" s="39"/>
      <c r="AU60" s="184"/>
    </row>
    <row r="61" spans="2:47" ht="18" hidden="1" x14ac:dyDescent="0.2">
      <c r="B61" s="139" t="s">
        <v>201</v>
      </c>
      <c r="C61" s="140"/>
      <c r="D61" s="141">
        <v>1</v>
      </c>
      <c r="E61" s="142" t="s">
        <v>202</v>
      </c>
      <c r="F61" s="142" t="s">
        <v>2</v>
      </c>
      <c r="G61" s="143" t="s">
        <v>77</v>
      </c>
      <c r="H61" s="142" t="s">
        <v>148</v>
      </c>
      <c r="I61" s="144" t="s">
        <v>192</v>
      </c>
      <c r="J61" s="144" t="s">
        <v>196</v>
      </c>
      <c r="K61" s="35">
        <v>0</v>
      </c>
      <c r="L61" s="145">
        <f>+IF(K61=0,0,IF(K61=1,Apoio!$H$2,IF(K61=2,Apoio!$H$3,IF(K61=3,Apoio!$H$4,IF(K61=4,Apoio!$H$5,0)))))</f>
        <v>0</v>
      </c>
      <c r="M61" s="35">
        <v>0</v>
      </c>
      <c r="N61" s="145">
        <f>+IF(M61=0,0,IF(M61=1,Apoio!$L$2,IF(M61=2,Apoio!$L$3,IF(M61=3,Apoio!$L$4,IF(M61=4,Apoio!$L$5,0)))))</f>
        <v>0</v>
      </c>
      <c r="O61" s="146">
        <v>4</v>
      </c>
      <c r="P61" s="147">
        <v>46113</v>
      </c>
      <c r="Q61" s="148">
        <f>+IF(OR(TB_Cockpit_2026[[#This Row],[SPRINT]]="",TB_Cockpit_2026[[#This Row],[SPRINT]]=0),"",TB_Cockpit_2026[[#This Row],[Dt. INÍCIO]]+(TB_Cockpit_2026[[#This Row],[SPRINT]]*15))</f>
        <v>46173</v>
      </c>
      <c r="R61" s="149">
        <f ca="1">+IF(TB_Cockpit_2026[[#This Row],[Dt. INÍCIO]]&lt;&gt;"",IF(TB_Cockpit_2026[[#This Row],[Dt. INÍCIO]]&gt;TODAY(),0,(TODAY()-TB_Cockpit_2026[[#This Row],[Dt. INÍCIO]])/(TB_Cockpit_2026[[#This Row],[TÉRMINO]]-TB_Cockpit_2026[[#This Row],[Dt. INÍCIO]])),"")</f>
        <v>0</v>
      </c>
      <c r="S61" s="150"/>
      <c r="T61" s="40">
        <f ca="1">+IF(TB_Cockpit_2026[[#This Row],[%Prev.]]=0,1,IF(TB_Cockpit_2026[[#This Row],[%Real]]&lt;TB_Cockpit_2026[[#This Row],[%Prev.]],0,IF(AND(TB_Cockpit_2026[[#This Row],[%Prev.]]&lt;&gt;"",TB_Cockpit_2026[[#This Row],[%Real]]=""),0,IF(TB_Cockpit_2026[[#This Row],[%Real]]&gt;=TB_Cockpit_2026[[#This Row],[%Prev.]],2,1))))</f>
        <v>1</v>
      </c>
      <c r="U61"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1"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1"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61"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1"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1"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61"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1"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1"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1"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1"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1"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1" s="43">
        <v>0</v>
      </c>
      <c r="AH61" s="17">
        <v>1</v>
      </c>
      <c r="AI61" s="17">
        <v>0</v>
      </c>
      <c r="AJ61" s="17">
        <v>0</v>
      </c>
      <c r="AK61" s="18">
        <f>+(TB_Cockpit_2026[[#This Row],[Encantar os Clientes]]*$AH$10)+(TB_Cockpit_2026[[#This Row],[Capital com Foco]]*$AJ$10)+(TB_Cockpit_2026[[#This Row],[Alta Rentabilidade]]*$AI$10)+IF(TB_Cockpit_2026[[#This Row],[u]]="u",4,0)</f>
        <v>2</v>
      </c>
      <c r="AL61" s="19">
        <v>0</v>
      </c>
      <c r="AM61" s="20">
        <v>0</v>
      </c>
      <c r="AN61" s="20">
        <v>0</v>
      </c>
      <c r="AO61" s="20">
        <v>3</v>
      </c>
      <c r="AP61" s="20">
        <v>0</v>
      </c>
      <c r="AQ61" s="21">
        <f>SUM(TB_Cockpit_2026[[#This Row],[K1]:[K5]])</f>
        <v>3</v>
      </c>
      <c r="AR61" s="27">
        <f>+TB_Cockpit_2026[[#This Row],[Relev.]]+TB_Cockpit_2026[[#This Row],[SCORE]]</f>
        <v>5</v>
      </c>
      <c r="AS6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61" s="39"/>
      <c r="AU61" s="184"/>
    </row>
    <row r="62" spans="2:47" ht="18" hidden="1" x14ac:dyDescent="0.2">
      <c r="B62" s="139" t="s">
        <v>203</v>
      </c>
      <c r="C62" s="140"/>
      <c r="D62" s="141">
        <v>1</v>
      </c>
      <c r="E62" s="142" t="s">
        <v>204</v>
      </c>
      <c r="F62" s="142" t="s">
        <v>2</v>
      </c>
      <c r="G62" s="143" t="s">
        <v>77</v>
      </c>
      <c r="H62" s="142" t="s">
        <v>148</v>
      </c>
      <c r="I62" s="152" t="s">
        <v>192</v>
      </c>
      <c r="J62" s="144" t="s">
        <v>196</v>
      </c>
      <c r="K62" s="35">
        <v>0</v>
      </c>
      <c r="L62" s="145">
        <f>+IF(K62=0,0,IF(K62=1,Apoio!$H$2,IF(K62=2,Apoio!$H$3,IF(K62=3,Apoio!$H$4,IF(K62=4,Apoio!$H$5,0)))))</f>
        <v>0</v>
      </c>
      <c r="M62" s="35">
        <v>0</v>
      </c>
      <c r="N62" s="145">
        <v>3600</v>
      </c>
      <c r="O62" s="146">
        <v>2</v>
      </c>
      <c r="P62" s="147">
        <v>46023</v>
      </c>
      <c r="Q62" s="148">
        <f>+IF(OR(TB_Cockpit_2026[[#This Row],[SPRINT]]="",TB_Cockpit_2026[[#This Row],[SPRINT]]=0),"",TB_Cockpit_2026[[#This Row],[Dt. INÍCIO]]+(TB_Cockpit_2026[[#This Row],[SPRINT]]*15))</f>
        <v>46053</v>
      </c>
      <c r="R62" s="149">
        <f ca="1">+IF(TB_Cockpit_2026[[#This Row],[Dt. INÍCIO]]&lt;&gt;"",IF(TB_Cockpit_2026[[#This Row],[Dt. INÍCIO]]&gt;TODAY(),0,(TODAY()-TB_Cockpit_2026[[#This Row],[Dt. INÍCIO]])/(TB_Cockpit_2026[[#This Row],[TÉRMINO]]-TB_Cockpit_2026[[#This Row],[Dt. INÍCIO]])),"")</f>
        <v>0</v>
      </c>
      <c r="S62" s="150"/>
      <c r="T62" s="40">
        <f ca="1">+IF(TB_Cockpit_2026[[#This Row],[%Prev.]]=0,1,IF(TB_Cockpit_2026[[#This Row],[%Real]]&lt;TB_Cockpit_2026[[#This Row],[%Prev.]],0,IF(AND(TB_Cockpit_2026[[#This Row],[%Prev.]]&lt;&gt;"",TB_Cockpit_2026[[#This Row],[%Real]]=""),0,IF(TB_Cockpit_2026[[#This Row],[%Real]]&gt;=TB_Cockpit_2026[[#This Row],[%Prev.]],2,1))))</f>
        <v>1</v>
      </c>
      <c r="U6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6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6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6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6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6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2" s="43">
        <v>0</v>
      </c>
      <c r="AH62" s="17">
        <v>0</v>
      </c>
      <c r="AI62" s="17">
        <v>0</v>
      </c>
      <c r="AJ62" s="17">
        <v>0</v>
      </c>
      <c r="AK62" s="18">
        <f>+(TB_Cockpit_2026[[#This Row],[Encantar os Clientes]]*$AH$10)+(TB_Cockpit_2026[[#This Row],[Capital com Foco]]*$AJ$10)+(TB_Cockpit_2026[[#This Row],[Alta Rentabilidade]]*$AI$10)+IF(TB_Cockpit_2026[[#This Row],[u]]="u",4,0)</f>
        <v>0</v>
      </c>
      <c r="AL62" s="19">
        <v>0</v>
      </c>
      <c r="AM62" s="20">
        <v>0</v>
      </c>
      <c r="AN62" s="20">
        <v>0</v>
      </c>
      <c r="AO62" s="20">
        <v>4</v>
      </c>
      <c r="AP62" s="20">
        <v>0</v>
      </c>
      <c r="AQ62" s="21">
        <f>SUM(TB_Cockpit_2026[[#This Row],[K1]:[K5]])</f>
        <v>4</v>
      </c>
      <c r="AR62" s="27">
        <f>+TB_Cockpit_2026[[#This Row],[Relev.]]+TB_Cockpit_2026[[#This Row],[SCORE]]</f>
        <v>4</v>
      </c>
      <c r="AS6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62" s="39"/>
      <c r="AU62" s="184"/>
    </row>
    <row r="63" spans="2:47" ht="19" hidden="1" x14ac:dyDescent="0.2">
      <c r="B63" s="139" t="s">
        <v>205</v>
      </c>
      <c r="C63" s="140" t="s">
        <v>18</v>
      </c>
      <c r="D63" s="141">
        <v>1</v>
      </c>
      <c r="E63" s="142" t="s">
        <v>206</v>
      </c>
      <c r="F63" s="142" t="s">
        <v>0</v>
      </c>
      <c r="G63" s="143" t="s">
        <v>77</v>
      </c>
      <c r="H63" s="142" t="s">
        <v>78</v>
      </c>
      <c r="I63" s="144" t="s">
        <v>207</v>
      </c>
      <c r="J63" s="144" t="s">
        <v>208</v>
      </c>
      <c r="K63" s="35">
        <v>0</v>
      </c>
      <c r="L63" s="145">
        <f>+IF(K63=0,0,IF(K63=1,Apoio!$H$2,IF(K63=2,Apoio!$H$3,IF(K63=3,Apoio!$H$4,IF(K63=4,Apoio!$H$5,0)))))</f>
        <v>0</v>
      </c>
      <c r="M63" s="35">
        <v>0</v>
      </c>
      <c r="N63" s="145">
        <v>20000</v>
      </c>
      <c r="O63" s="146">
        <v>2</v>
      </c>
      <c r="P63" s="147">
        <v>46082</v>
      </c>
      <c r="Q63" s="148">
        <f>+IF(OR(TB_Cockpit_2026[[#This Row],[SPRINT]]="",TB_Cockpit_2026[[#This Row],[SPRINT]]=0),"",TB_Cockpit_2026[[#This Row],[Dt. INÍCIO]]+(TB_Cockpit_2026[[#This Row],[SPRINT]]*15))</f>
        <v>46112</v>
      </c>
      <c r="R63" s="149">
        <f ca="1">+IF(TB_Cockpit_2026[[#This Row],[Dt. INÍCIO]]&lt;&gt;"",IF(TB_Cockpit_2026[[#This Row],[Dt. INÍCIO]]&gt;TODAY(),0,(TODAY()-TB_Cockpit_2026[[#This Row],[Dt. INÍCIO]])/(TB_Cockpit_2026[[#This Row],[TÉRMINO]]-TB_Cockpit_2026[[#This Row],[Dt. INÍCIO]])),"")</f>
        <v>0</v>
      </c>
      <c r="S63" s="150"/>
      <c r="T63" s="40">
        <f ca="1">+IF(TB_Cockpit_2026[[#This Row],[%Prev.]]=0,1,IF(TB_Cockpit_2026[[#This Row],[%Real]]&lt;TB_Cockpit_2026[[#This Row],[%Prev.]],0,IF(AND(TB_Cockpit_2026[[#This Row],[%Prev.]]&lt;&gt;"",TB_Cockpit_2026[[#This Row],[%Real]]=""),0,IF(TB_Cockpit_2026[[#This Row],[%Real]]&gt;=TB_Cockpit_2026[[#This Row],[%Prev.]],2,1))))</f>
        <v>1</v>
      </c>
      <c r="U6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6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6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6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3" s="43">
        <v>0</v>
      </c>
      <c r="AH63" s="17">
        <v>2</v>
      </c>
      <c r="AI63" s="17">
        <v>4</v>
      </c>
      <c r="AJ63" s="17">
        <v>4</v>
      </c>
      <c r="AK63" s="18">
        <f>+(TB_Cockpit_2026[[#This Row],[Encantar os Clientes]]*$AH$10)+(TB_Cockpit_2026[[#This Row],[Capital com Foco]]*$AJ$10)+(TB_Cockpit_2026[[#This Row],[Alta Rentabilidade]]*$AI$10)+IF(TB_Cockpit_2026[[#This Row],[u]]="u",4,0)</f>
        <v>16</v>
      </c>
      <c r="AL63" s="19">
        <v>2</v>
      </c>
      <c r="AM63" s="20">
        <v>3</v>
      </c>
      <c r="AN63" s="20">
        <v>0</v>
      </c>
      <c r="AO63" s="20">
        <v>4</v>
      </c>
      <c r="AP63" s="20">
        <v>0</v>
      </c>
      <c r="AQ63" s="21">
        <f>SUM(TB_Cockpit_2026[[#This Row],[K1]:[K5]])</f>
        <v>9</v>
      </c>
      <c r="AR63" s="27">
        <f>+TB_Cockpit_2026[[#This Row],[Relev.]]+TB_Cockpit_2026[[#This Row],[SCORE]]</f>
        <v>25</v>
      </c>
      <c r="AS6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63" s="39"/>
      <c r="AU63" s="184"/>
    </row>
    <row r="64" spans="2:47" ht="19" hidden="1" x14ac:dyDescent="0.2">
      <c r="B64" s="139" t="s">
        <v>209</v>
      </c>
      <c r="C64" s="140" t="s">
        <v>18</v>
      </c>
      <c r="D64" s="141">
        <v>1</v>
      </c>
      <c r="E64" s="142" t="s">
        <v>210</v>
      </c>
      <c r="F64" s="142" t="s">
        <v>2</v>
      </c>
      <c r="G64" s="143" t="s">
        <v>64</v>
      </c>
      <c r="H64" s="142" t="s">
        <v>70</v>
      </c>
      <c r="I64" s="152" t="s">
        <v>207</v>
      </c>
      <c r="J64" s="144" t="s">
        <v>208</v>
      </c>
      <c r="K64" s="35">
        <v>0</v>
      </c>
      <c r="L64" s="145">
        <f>+IF(K64=0,0,IF(K64=1,Apoio!$H$2,IF(K64=2,Apoio!$H$3,IF(K64=3,Apoio!$H$4,IF(K64=4,Apoio!$H$5,0)))))</f>
        <v>0</v>
      </c>
      <c r="M64" s="35">
        <v>0</v>
      </c>
      <c r="N64" s="145">
        <f>+IF(M64=0,0,IF(M64=1,Apoio!$L$2,IF(M64=2,Apoio!$L$3,IF(M64=3,Apoio!$L$4,IF(M64=4,Apoio!$L$5,0)))))</f>
        <v>0</v>
      </c>
      <c r="O64" s="146">
        <v>8</v>
      </c>
      <c r="P64" s="147">
        <v>46082</v>
      </c>
      <c r="Q64" s="148">
        <f>+IF(OR(TB_Cockpit_2026[[#This Row],[SPRINT]]="",TB_Cockpit_2026[[#This Row],[SPRINT]]=0),"",TB_Cockpit_2026[[#This Row],[Dt. INÍCIO]]+(TB_Cockpit_2026[[#This Row],[SPRINT]]*15))</f>
        <v>46202</v>
      </c>
      <c r="R64" s="149">
        <f ca="1">+IF(TB_Cockpit_2026[[#This Row],[Dt. INÍCIO]]&lt;&gt;"",IF(TB_Cockpit_2026[[#This Row],[Dt. INÍCIO]]&gt;TODAY(),0,(TODAY()-TB_Cockpit_2026[[#This Row],[Dt. INÍCIO]])/(TB_Cockpit_2026[[#This Row],[TÉRMINO]]-TB_Cockpit_2026[[#This Row],[Dt. INÍCIO]])),"")</f>
        <v>0</v>
      </c>
      <c r="S64" s="150"/>
      <c r="T64" s="40">
        <f ca="1">+IF(TB_Cockpit_2026[[#This Row],[%Prev.]]=0,1,IF(TB_Cockpit_2026[[#This Row],[%Real]]&lt;TB_Cockpit_2026[[#This Row],[%Prev.]],0,IF(AND(TB_Cockpit_2026[[#This Row],[%Prev.]]&lt;&gt;"",TB_Cockpit_2026[[#This Row],[%Real]]=""),0,IF(TB_Cockpit_2026[[#This Row],[%Real]]&gt;=TB_Cockpit_2026[[#This Row],[%Prev.]],2,1))))</f>
        <v>1</v>
      </c>
      <c r="U6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6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4" s="43">
        <v>0</v>
      </c>
      <c r="AH64" s="17">
        <v>1</v>
      </c>
      <c r="AI64" s="17">
        <v>1</v>
      </c>
      <c r="AJ64" s="17">
        <v>2</v>
      </c>
      <c r="AK64" s="18">
        <f>+(TB_Cockpit_2026[[#This Row],[Encantar os Clientes]]*$AH$10)+(TB_Cockpit_2026[[#This Row],[Capital com Foco]]*$AJ$10)+(TB_Cockpit_2026[[#This Row],[Alta Rentabilidade]]*$AI$10)+IF(TB_Cockpit_2026[[#This Row],[u]]="u",4,0)</f>
        <v>9</v>
      </c>
      <c r="AL64" s="19">
        <v>2</v>
      </c>
      <c r="AM64" s="20">
        <v>3</v>
      </c>
      <c r="AN64" s="20">
        <v>2</v>
      </c>
      <c r="AO64" s="20">
        <v>3</v>
      </c>
      <c r="AP64" s="20">
        <v>3</v>
      </c>
      <c r="AQ64" s="21">
        <f>SUM(TB_Cockpit_2026[[#This Row],[K1]:[K5]])</f>
        <v>13</v>
      </c>
      <c r="AR64" s="27">
        <f>+TB_Cockpit_2026[[#This Row],[Relev.]]+TB_Cockpit_2026[[#This Row],[SCORE]]</f>
        <v>22</v>
      </c>
      <c r="AS6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64" s="39"/>
      <c r="AU64" s="184"/>
    </row>
    <row r="65" spans="2:47" ht="19" hidden="1" x14ac:dyDescent="0.2">
      <c r="B65" s="139" t="s">
        <v>211</v>
      </c>
      <c r="C65" s="140" t="s">
        <v>18</v>
      </c>
      <c r="D65" s="141">
        <v>1</v>
      </c>
      <c r="E65" s="142" t="s">
        <v>212</v>
      </c>
      <c r="F65" s="142" t="s">
        <v>0</v>
      </c>
      <c r="G65" s="143" t="s">
        <v>77</v>
      </c>
      <c r="H65" s="142" t="s">
        <v>148</v>
      </c>
      <c r="I65" s="152" t="s">
        <v>207</v>
      </c>
      <c r="J65" s="144" t="s">
        <v>208</v>
      </c>
      <c r="K65" s="35">
        <v>0</v>
      </c>
      <c r="L65" s="145">
        <f>+IF(K65=0,0,IF(K65=1,Apoio!$H$2,IF(K65=2,Apoio!$H$3,IF(K65=3,Apoio!$H$4,IF(K65=4,Apoio!$H$5,0)))))</f>
        <v>0</v>
      </c>
      <c r="M65" s="35">
        <v>0</v>
      </c>
      <c r="N65" s="145">
        <f>N64*2</f>
        <v>0</v>
      </c>
      <c r="O65" s="146">
        <v>16</v>
      </c>
      <c r="P65" s="147">
        <v>46082</v>
      </c>
      <c r="Q65" s="148">
        <f>+IF(OR(TB_Cockpit_2026[[#This Row],[SPRINT]]="",TB_Cockpit_2026[[#This Row],[SPRINT]]=0),"",TB_Cockpit_2026[[#This Row],[Dt. INÍCIO]]+(TB_Cockpit_2026[[#This Row],[SPRINT]]*15))</f>
        <v>46322</v>
      </c>
      <c r="R65" s="149">
        <f ca="1">+IF(TB_Cockpit_2026[[#This Row],[Dt. INÍCIO]]&lt;&gt;"",IF(TB_Cockpit_2026[[#This Row],[Dt. INÍCIO]]&gt;TODAY(),0,(TODAY()-TB_Cockpit_2026[[#This Row],[Dt. INÍCIO]])/(TB_Cockpit_2026[[#This Row],[TÉRMINO]]-TB_Cockpit_2026[[#This Row],[Dt. INÍCIO]])),"")</f>
        <v>0</v>
      </c>
      <c r="S65" s="150"/>
      <c r="T65" s="40">
        <f ca="1">+IF(TB_Cockpit_2026[[#This Row],[%Prev.]]=0,1,IF(TB_Cockpit_2026[[#This Row],[%Real]]&lt;TB_Cockpit_2026[[#This Row],[%Prev.]],0,IF(AND(TB_Cockpit_2026[[#This Row],[%Prev.]]&lt;&gt;"",TB_Cockpit_2026[[#This Row],[%Real]]=""),0,IF(TB_Cockpit_2026[[#This Row],[%Real]]&gt;=TB_Cockpit_2026[[#This Row],[%Prev.]],2,1))))</f>
        <v>1</v>
      </c>
      <c r="U6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6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6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6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6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6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5" s="43">
        <v>0</v>
      </c>
      <c r="AH65" s="17">
        <v>3</v>
      </c>
      <c r="AI65" s="17">
        <v>4</v>
      </c>
      <c r="AJ65" s="17">
        <v>4</v>
      </c>
      <c r="AK65" s="18">
        <f>+(TB_Cockpit_2026[[#This Row],[Encantar os Clientes]]*$AH$10)+(TB_Cockpit_2026[[#This Row],[Capital com Foco]]*$AJ$10)+(TB_Cockpit_2026[[#This Row],[Alta Rentabilidade]]*$AI$10)+IF(TB_Cockpit_2026[[#This Row],[u]]="u",4,0)</f>
        <v>18</v>
      </c>
      <c r="AL65" s="19">
        <v>0</v>
      </c>
      <c r="AM65" s="20">
        <v>0</v>
      </c>
      <c r="AN65" s="20">
        <v>0</v>
      </c>
      <c r="AO65" s="20">
        <v>3</v>
      </c>
      <c r="AP65" s="20">
        <v>0</v>
      </c>
      <c r="AQ65" s="21">
        <f>SUM(TB_Cockpit_2026[[#This Row],[K1]:[K5]])</f>
        <v>3</v>
      </c>
      <c r="AR65" s="27">
        <f>+TB_Cockpit_2026[[#This Row],[Relev.]]+TB_Cockpit_2026[[#This Row],[SCORE]]</f>
        <v>21</v>
      </c>
      <c r="AS6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65" s="39"/>
      <c r="AU65" s="184"/>
    </row>
    <row r="66" spans="2:47" ht="19" hidden="1" x14ac:dyDescent="0.2">
      <c r="B66" s="139" t="s">
        <v>213</v>
      </c>
      <c r="C66" s="140" t="s">
        <v>18</v>
      </c>
      <c r="D66" s="141">
        <v>1</v>
      </c>
      <c r="E66" s="142" t="s">
        <v>214</v>
      </c>
      <c r="F66" s="142" t="s">
        <v>0</v>
      </c>
      <c r="G66" s="143" t="s">
        <v>64</v>
      </c>
      <c r="H66" s="142" t="s">
        <v>70</v>
      </c>
      <c r="I66" s="152" t="s">
        <v>207</v>
      </c>
      <c r="J66" s="144" t="s">
        <v>208</v>
      </c>
      <c r="K66" s="35">
        <v>0</v>
      </c>
      <c r="L66" s="145">
        <f>+IF(K66=0,0,IF(K66=1,Apoio!$H$2,IF(K66=2,Apoio!$H$3,IF(K66=3,Apoio!$H$4,IF(K66=4,Apoio!$H$5,0)))))</f>
        <v>0</v>
      </c>
      <c r="M66" s="35">
        <v>0</v>
      </c>
      <c r="N66" s="145">
        <v>200000</v>
      </c>
      <c r="O66" s="146">
        <v>24</v>
      </c>
      <c r="P66" s="147">
        <v>46023</v>
      </c>
      <c r="Q66" s="148">
        <f>+IF(OR(TB_Cockpit_2026[[#This Row],[SPRINT]]="",TB_Cockpit_2026[[#This Row],[SPRINT]]=0),"",TB_Cockpit_2026[[#This Row],[Dt. INÍCIO]]+(TB_Cockpit_2026[[#This Row],[SPRINT]]*15))</f>
        <v>46383</v>
      </c>
      <c r="R66" s="149">
        <f ca="1">+IF(TB_Cockpit_2026[[#This Row],[Dt. INÍCIO]]&lt;&gt;"",IF(TB_Cockpit_2026[[#This Row],[Dt. INÍCIO]]&gt;TODAY(),0,(TODAY()-TB_Cockpit_2026[[#This Row],[Dt. INÍCIO]])/(TB_Cockpit_2026[[#This Row],[TÉRMINO]]-TB_Cockpit_2026[[#This Row],[Dt. INÍCIO]])),"")</f>
        <v>0</v>
      </c>
      <c r="S66" s="150"/>
      <c r="T66" s="40">
        <f ca="1">+IF(TB_Cockpit_2026[[#This Row],[%Prev.]]=0,1,IF(TB_Cockpit_2026[[#This Row],[%Real]]&lt;TB_Cockpit_2026[[#This Row],[%Prev.]],0,IF(AND(TB_Cockpit_2026[[#This Row],[%Prev.]]&lt;&gt;"",TB_Cockpit_2026[[#This Row],[%Real]]=""),0,IF(TB_Cockpit_2026[[#This Row],[%Real]]&gt;=TB_Cockpit_2026[[#This Row],[%Prev.]],2,1))))</f>
        <v>1</v>
      </c>
      <c r="U6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6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6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6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6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6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6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6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6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66" s="43">
        <v>0</v>
      </c>
      <c r="AH66" s="17">
        <v>4</v>
      </c>
      <c r="AI66" s="17">
        <v>4</v>
      </c>
      <c r="AJ66" s="17">
        <v>4</v>
      </c>
      <c r="AK66" s="18">
        <f>+(TB_Cockpit_2026[[#This Row],[Encantar os Clientes]]*$AH$10)+(TB_Cockpit_2026[[#This Row],[Capital com Foco]]*$AJ$10)+(TB_Cockpit_2026[[#This Row],[Alta Rentabilidade]]*$AI$10)+IF(TB_Cockpit_2026[[#This Row],[u]]="u",4,0)</f>
        <v>20</v>
      </c>
      <c r="AL66" s="19">
        <v>4</v>
      </c>
      <c r="AM66" s="20">
        <v>0</v>
      </c>
      <c r="AN66" s="20">
        <v>0</v>
      </c>
      <c r="AO66" s="20">
        <v>4</v>
      </c>
      <c r="AP66" s="20">
        <v>0</v>
      </c>
      <c r="AQ66" s="21">
        <f>SUM(TB_Cockpit_2026[[#This Row],[K1]:[K5]])</f>
        <v>8</v>
      </c>
      <c r="AR66" s="27">
        <f>+TB_Cockpit_2026[[#This Row],[Relev.]]+TB_Cockpit_2026[[#This Row],[SCORE]]</f>
        <v>28</v>
      </c>
      <c r="AS6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66" s="39"/>
      <c r="AU66" s="184"/>
    </row>
    <row r="67" spans="2:47" ht="18" hidden="1" x14ac:dyDescent="0.2">
      <c r="B67" s="139" t="s">
        <v>215</v>
      </c>
      <c r="C67" s="140"/>
      <c r="D67" s="141">
        <v>1</v>
      </c>
      <c r="E67" s="142" t="s">
        <v>216</v>
      </c>
      <c r="F67" s="142" t="s">
        <v>0</v>
      </c>
      <c r="G67" s="143" t="s">
        <v>77</v>
      </c>
      <c r="H67" s="142" t="s">
        <v>65</v>
      </c>
      <c r="I67" s="152" t="s">
        <v>207</v>
      </c>
      <c r="J67" s="144" t="s">
        <v>217</v>
      </c>
      <c r="K67" s="35">
        <v>0</v>
      </c>
      <c r="L67" s="145">
        <f>+IF(K67=0,0,IF(K67=1,Apoio!$H$2,IF(K67=2,Apoio!$H$3,IF(K67=3,Apoio!$H$4,IF(K67=4,Apoio!$H$5,0)))))</f>
        <v>0</v>
      </c>
      <c r="M67" s="35">
        <v>0</v>
      </c>
      <c r="N67" s="145">
        <v>100000</v>
      </c>
      <c r="O67" s="146">
        <v>4</v>
      </c>
      <c r="P67" s="147">
        <v>46023</v>
      </c>
      <c r="Q67" s="148">
        <f>+IF(OR(TB_Cockpit_2026[[#This Row],[SPRINT]]="",TB_Cockpit_2026[[#This Row],[SPRINT]]=0),"",TB_Cockpit_2026[[#This Row],[Dt. INÍCIO]]+(TB_Cockpit_2026[[#This Row],[SPRINT]]*15))</f>
        <v>46083</v>
      </c>
      <c r="R67" s="149">
        <f ca="1">+IF(TB_Cockpit_2026[[#This Row],[Dt. INÍCIO]]&lt;&gt;"",IF(TB_Cockpit_2026[[#This Row],[Dt. INÍCIO]]&gt;TODAY(),0,(TODAY()-TB_Cockpit_2026[[#This Row],[Dt. INÍCIO]])/(TB_Cockpit_2026[[#This Row],[TÉRMINO]]-TB_Cockpit_2026[[#This Row],[Dt. INÍCIO]])),"")</f>
        <v>0</v>
      </c>
      <c r="S67" s="150"/>
      <c r="T67" s="40">
        <f ca="1">+IF(TB_Cockpit_2026[[#This Row],[%Prev.]]=0,1,IF(TB_Cockpit_2026[[#This Row],[%Real]]&lt;TB_Cockpit_2026[[#This Row],[%Prev.]],0,IF(AND(TB_Cockpit_2026[[#This Row],[%Prev.]]&lt;&gt;"",TB_Cockpit_2026[[#This Row],[%Real]]=""),0,IF(TB_Cockpit_2026[[#This Row],[%Real]]&gt;=TB_Cockpit_2026[[#This Row],[%Prev.]],2,1))))</f>
        <v>1</v>
      </c>
      <c r="U6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6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6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6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6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6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6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7" s="43">
        <v>0</v>
      </c>
      <c r="AH67" s="17">
        <v>0</v>
      </c>
      <c r="AI67" s="17">
        <v>0</v>
      </c>
      <c r="AJ67" s="17">
        <v>0</v>
      </c>
      <c r="AK67" s="18">
        <f>+(TB_Cockpit_2026[[#This Row],[Encantar os Clientes]]*$AH$10)+(TB_Cockpit_2026[[#This Row],[Capital com Foco]]*$AJ$10)+(TB_Cockpit_2026[[#This Row],[Alta Rentabilidade]]*$AI$10)+IF(TB_Cockpit_2026[[#This Row],[u]]="u",4,0)</f>
        <v>0</v>
      </c>
      <c r="AL67" s="19">
        <v>0</v>
      </c>
      <c r="AM67" s="20">
        <v>0</v>
      </c>
      <c r="AN67" s="20">
        <v>0</v>
      </c>
      <c r="AO67" s="20">
        <v>0</v>
      </c>
      <c r="AP67" s="20">
        <v>0</v>
      </c>
      <c r="AQ67" s="21">
        <f>SUM(TB_Cockpit_2026[[#This Row],[K1]:[K5]])</f>
        <v>0</v>
      </c>
      <c r="AR67" s="27">
        <f>+TB_Cockpit_2026[[#This Row],[Relev.]]+TB_Cockpit_2026[[#This Row],[SCORE]]</f>
        <v>0</v>
      </c>
      <c r="AS6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67" s="39"/>
      <c r="AU67" s="184"/>
    </row>
    <row r="68" spans="2:47" ht="18" x14ac:dyDescent="0.2">
      <c r="B68" s="139" t="s">
        <v>218</v>
      </c>
      <c r="C68" s="140"/>
      <c r="D68" s="141">
        <v>1</v>
      </c>
      <c r="E68" s="142" t="s">
        <v>219</v>
      </c>
      <c r="F68" s="142" t="s">
        <v>0</v>
      </c>
      <c r="G68" s="143" t="s">
        <v>77</v>
      </c>
      <c r="H68" s="142" t="s">
        <v>148</v>
      </c>
      <c r="I68" s="152" t="s">
        <v>220</v>
      </c>
      <c r="J68" s="144" t="s">
        <v>221</v>
      </c>
      <c r="K68" s="35">
        <v>0</v>
      </c>
      <c r="L68" s="145">
        <v>12000</v>
      </c>
      <c r="M68" s="35">
        <v>0</v>
      </c>
      <c r="N68" s="145">
        <v>48000</v>
      </c>
      <c r="O68" s="146">
        <v>24</v>
      </c>
      <c r="P68" s="147">
        <v>46023</v>
      </c>
      <c r="Q68" s="148">
        <f>+IF(OR(TB_Cockpit_2026[[#This Row],[SPRINT]]="",TB_Cockpit_2026[[#This Row],[SPRINT]]=0),"",TB_Cockpit_2026[[#This Row],[Dt. INÍCIO]]+(TB_Cockpit_2026[[#This Row],[SPRINT]]*15))</f>
        <v>46383</v>
      </c>
      <c r="R68" s="149">
        <f ca="1">+IF(TB_Cockpit_2026[[#This Row],[Dt. INÍCIO]]&lt;&gt;"",IF(TB_Cockpit_2026[[#This Row],[Dt. INÍCIO]]&gt;TODAY(),0,(TODAY()-TB_Cockpit_2026[[#This Row],[Dt. INÍCIO]])/(TB_Cockpit_2026[[#This Row],[TÉRMINO]]-TB_Cockpit_2026[[#This Row],[Dt. INÍCIO]])),"")</f>
        <v>0</v>
      </c>
      <c r="S68" s="150"/>
      <c r="T68" s="40">
        <f ca="1">+IF(TB_Cockpit_2026[[#This Row],[%Prev.]]=0,1,IF(TB_Cockpit_2026[[#This Row],[%Real]]&lt;TB_Cockpit_2026[[#This Row],[%Prev.]],0,IF(AND(TB_Cockpit_2026[[#This Row],[%Prev.]]&lt;&gt;"",TB_Cockpit_2026[[#This Row],[%Real]]=""),0,IF(TB_Cockpit_2026[[#This Row],[%Real]]&gt;=TB_Cockpit_2026[[#This Row],[%Prev.]],2,1))))</f>
        <v>1</v>
      </c>
      <c r="U6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6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6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6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6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6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6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6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6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68" s="43">
        <v>4</v>
      </c>
      <c r="AH68" s="17">
        <v>3</v>
      </c>
      <c r="AI68" s="17">
        <v>4</v>
      </c>
      <c r="AJ68" s="17">
        <v>4</v>
      </c>
      <c r="AK68" s="18">
        <f>+(TB_Cockpit_2026[[#This Row],[Encantar os Clientes]]*$AH$10)+(TB_Cockpit_2026[[#This Row],[Capital com Foco]]*$AJ$10)+(TB_Cockpit_2026[[#This Row],[Alta Rentabilidade]]*$AI$10)+IF(TB_Cockpit_2026[[#This Row],[u]]="u",4,0)</f>
        <v>14</v>
      </c>
      <c r="AL68" s="19">
        <v>4</v>
      </c>
      <c r="AM68" s="20">
        <v>4</v>
      </c>
      <c r="AN68" s="20">
        <v>2</v>
      </c>
      <c r="AO68" s="20">
        <v>1</v>
      </c>
      <c r="AP68" s="20">
        <v>0</v>
      </c>
      <c r="AQ68" s="21">
        <f>SUM(TB_Cockpit_2026[[#This Row],[K1]:[K5]])</f>
        <v>11</v>
      </c>
      <c r="AR68" s="27">
        <f>+TB_Cockpit_2026[[#This Row],[Relev.]]+TB_Cockpit_2026[[#This Row],[SCORE]]</f>
        <v>25</v>
      </c>
      <c r="AS6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68" s="39"/>
      <c r="AU68" s="184"/>
    </row>
    <row r="69" spans="2:47" ht="18" x14ac:dyDescent="0.2">
      <c r="B69" s="139" t="s">
        <v>222</v>
      </c>
      <c r="C69" s="140"/>
      <c r="D69" s="141">
        <v>1</v>
      </c>
      <c r="E69" s="142" t="s">
        <v>223</v>
      </c>
      <c r="F69" s="142" t="s">
        <v>0</v>
      </c>
      <c r="G69" s="143" t="s">
        <v>64</v>
      </c>
      <c r="H69" s="142" t="s">
        <v>148</v>
      </c>
      <c r="I69" s="144" t="s">
        <v>220</v>
      </c>
      <c r="J69" s="144" t="s">
        <v>224</v>
      </c>
      <c r="K69" s="35">
        <v>0</v>
      </c>
      <c r="L69" s="145">
        <f>+IF(K69=0,0,IF(K69=1,Apoio!$H$2,IF(K69=2,Apoio!$H$3,IF(K69=3,Apoio!$H$4,IF(K69=4,Apoio!$H$5,0)))))</f>
        <v>0</v>
      </c>
      <c r="M69" s="35">
        <v>0</v>
      </c>
      <c r="N69" s="145">
        <v>50833.33</v>
      </c>
      <c r="O69" s="146">
        <v>9</v>
      </c>
      <c r="P69" s="147">
        <v>46082</v>
      </c>
      <c r="Q69" s="148">
        <f>+IF(OR(TB_Cockpit_2026[[#This Row],[SPRINT]]="",TB_Cockpit_2026[[#This Row],[SPRINT]]=0),"",TB_Cockpit_2026[[#This Row],[Dt. INÍCIO]]+(TB_Cockpit_2026[[#This Row],[SPRINT]]*15))</f>
        <v>46217</v>
      </c>
      <c r="R69" s="149">
        <f ca="1">+IF(TB_Cockpit_2026[[#This Row],[Dt. INÍCIO]]&lt;&gt;"",IF(TB_Cockpit_2026[[#This Row],[Dt. INÍCIO]]&gt;TODAY(),0,(TODAY()-TB_Cockpit_2026[[#This Row],[Dt. INÍCIO]])/(TB_Cockpit_2026[[#This Row],[TÉRMINO]]-TB_Cockpit_2026[[#This Row],[Dt. INÍCIO]])),"")</f>
        <v>0</v>
      </c>
      <c r="S69" s="150"/>
      <c r="T69" s="40">
        <f ca="1">+IF(TB_Cockpit_2026[[#This Row],[%Prev.]]=0,1,IF(TB_Cockpit_2026[[#This Row],[%Real]]&lt;TB_Cockpit_2026[[#This Row],[%Prev.]],0,IF(AND(TB_Cockpit_2026[[#This Row],[%Prev.]]&lt;&gt;"",TB_Cockpit_2026[[#This Row],[%Real]]=""),0,IF(TB_Cockpit_2026[[#This Row],[%Real]]&gt;=TB_Cockpit_2026[[#This Row],[%Prev.]],2,1))))</f>
        <v>1</v>
      </c>
      <c r="U69"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69"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69"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69"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69"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69"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69"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69"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69"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69"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69"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69"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69" s="43">
        <v>2</v>
      </c>
      <c r="AH69" s="17">
        <v>0</v>
      </c>
      <c r="AI69" s="17">
        <v>4</v>
      </c>
      <c r="AJ69" s="17">
        <v>4</v>
      </c>
      <c r="AK69" s="18">
        <f>+(TB_Cockpit_2026[[#This Row],[Encantar os Clientes]]*$AH$10)+(TB_Cockpit_2026[[#This Row],[Capital com Foco]]*$AJ$10)+(TB_Cockpit_2026[[#This Row],[Alta Rentabilidade]]*$AI$10)+IF(TB_Cockpit_2026[[#This Row],[u]]="u",4,0)</f>
        <v>8</v>
      </c>
      <c r="AL69" s="19">
        <v>0</v>
      </c>
      <c r="AM69" s="20">
        <v>4</v>
      </c>
      <c r="AN69" s="20">
        <v>1</v>
      </c>
      <c r="AO69" s="20">
        <v>0</v>
      </c>
      <c r="AP69" s="20">
        <v>1</v>
      </c>
      <c r="AQ69" s="21">
        <f>SUM(TB_Cockpit_2026[[#This Row],[K1]:[K5]])</f>
        <v>6</v>
      </c>
      <c r="AR69" s="27">
        <f>+TB_Cockpit_2026[[#This Row],[Relev.]]+TB_Cockpit_2026[[#This Row],[SCORE]]</f>
        <v>14</v>
      </c>
      <c r="AS69"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69" s="39"/>
      <c r="AU69" s="184"/>
    </row>
    <row r="70" spans="2:47" ht="19" x14ac:dyDescent="0.2">
      <c r="B70" s="139" t="s">
        <v>225</v>
      </c>
      <c r="C70" s="140" t="s">
        <v>18</v>
      </c>
      <c r="D70" s="141">
        <v>1</v>
      </c>
      <c r="E70" s="142" t="s">
        <v>226</v>
      </c>
      <c r="F70" s="142" t="s">
        <v>0</v>
      </c>
      <c r="G70" s="143" t="s">
        <v>77</v>
      </c>
      <c r="H70" s="142" t="s">
        <v>78</v>
      </c>
      <c r="I70" s="152" t="s">
        <v>220</v>
      </c>
      <c r="J70" s="144" t="s">
        <v>224</v>
      </c>
      <c r="K70" s="35">
        <v>0</v>
      </c>
      <c r="L70" s="145">
        <f>+IF(K70=0,0,IF(K70=1,Apoio!$H$2,IF(K70=2,Apoio!$H$3,IF(K70=3,Apoio!$H$4,IF(K70=4,Apoio!$H$5,0)))))</f>
        <v>0</v>
      </c>
      <c r="M70" s="35">
        <v>0</v>
      </c>
      <c r="N70" s="145">
        <f>+IF(M70=0,0,IF(M70=1,Apoio!$L$2,IF(M70=2,Apoio!$L$3,IF(M70=3,Apoio!$L$4,IF(M70=4,Apoio!$L$5,0)))))</f>
        <v>0</v>
      </c>
      <c r="O70" s="146">
        <v>24</v>
      </c>
      <c r="P70" s="147">
        <v>46023</v>
      </c>
      <c r="Q70" s="148">
        <f>+IF(OR(TB_Cockpit_2026[[#This Row],[SPRINT]]="",TB_Cockpit_2026[[#This Row],[SPRINT]]=0),"",TB_Cockpit_2026[[#This Row],[Dt. INÍCIO]]+(TB_Cockpit_2026[[#This Row],[SPRINT]]*15))</f>
        <v>46383</v>
      </c>
      <c r="R70" s="149">
        <f ca="1">+IF(TB_Cockpit_2026[[#This Row],[Dt. INÍCIO]]&lt;&gt;"",IF(TB_Cockpit_2026[[#This Row],[Dt. INÍCIO]]&gt;TODAY(),0,(TODAY()-TB_Cockpit_2026[[#This Row],[Dt. INÍCIO]])/(TB_Cockpit_2026[[#This Row],[TÉRMINO]]-TB_Cockpit_2026[[#This Row],[Dt. INÍCIO]])),"")</f>
        <v>0</v>
      </c>
      <c r="S70" s="150"/>
      <c r="T70" s="40">
        <f ca="1">+IF(TB_Cockpit_2026[[#This Row],[%Prev.]]=0,1,IF(TB_Cockpit_2026[[#This Row],[%Real]]&lt;TB_Cockpit_2026[[#This Row],[%Prev.]],0,IF(AND(TB_Cockpit_2026[[#This Row],[%Prev.]]&lt;&gt;"",TB_Cockpit_2026[[#This Row],[%Real]]=""),0,IF(TB_Cockpit_2026[[#This Row],[%Real]]&gt;=TB_Cockpit_2026[[#This Row],[%Prev.]],2,1))))</f>
        <v>1</v>
      </c>
      <c r="U70"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0"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0"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0"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0"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0"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0"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0"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0"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0"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0"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0"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0" s="43">
        <v>1</v>
      </c>
      <c r="AH70" s="17">
        <v>2</v>
      </c>
      <c r="AI70" s="17">
        <v>2</v>
      </c>
      <c r="AJ70" s="17">
        <v>2</v>
      </c>
      <c r="AK70" s="18">
        <f>+(TB_Cockpit_2026[[#This Row],[Encantar os Clientes]]*$AH$10)+(TB_Cockpit_2026[[#This Row],[Capital com Foco]]*$AJ$10)+(TB_Cockpit_2026[[#This Row],[Alta Rentabilidade]]*$AI$10)+IF(TB_Cockpit_2026[[#This Row],[u]]="u",4,0)</f>
        <v>12</v>
      </c>
      <c r="AL70" s="19">
        <v>2</v>
      </c>
      <c r="AM70" s="20">
        <v>2</v>
      </c>
      <c r="AN70" s="20">
        <v>2</v>
      </c>
      <c r="AO70" s="20">
        <v>2</v>
      </c>
      <c r="AP70" s="20">
        <v>4</v>
      </c>
      <c r="AQ70" s="21">
        <f>SUM(TB_Cockpit_2026[[#This Row],[K1]:[K5]])</f>
        <v>12</v>
      </c>
      <c r="AR70" s="27">
        <f>+TB_Cockpit_2026[[#This Row],[Relev.]]+TB_Cockpit_2026[[#This Row],[SCORE]]</f>
        <v>24</v>
      </c>
      <c r="AS70"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70" s="39"/>
      <c r="AU70" s="184"/>
    </row>
    <row r="71" spans="2:47" ht="18" x14ac:dyDescent="0.2">
      <c r="B71" s="139" t="s">
        <v>227</v>
      </c>
      <c r="C71" s="140"/>
      <c r="D71" s="141">
        <v>1</v>
      </c>
      <c r="E71" s="142" t="s">
        <v>228</v>
      </c>
      <c r="F71" s="142" t="s">
        <v>2</v>
      </c>
      <c r="G71" s="143" t="s">
        <v>77</v>
      </c>
      <c r="H71" s="142" t="s">
        <v>148</v>
      </c>
      <c r="I71" s="152" t="s">
        <v>220</v>
      </c>
      <c r="J71" s="144" t="s">
        <v>224</v>
      </c>
      <c r="K71" s="35">
        <v>0</v>
      </c>
      <c r="L71" s="145">
        <f>+IF(K71=0,0,IF(K71=1,Apoio!$H$2,IF(K71=2,Apoio!$H$3,IF(K71=3,Apoio!$H$4,IF(K71=4,Apoio!$H$5,0)))))</f>
        <v>0</v>
      </c>
      <c r="M71" s="35">
        <v>0</v>
      </c>
      <c r="N71" s="145">
        <f>+IF(M71=0,0,IF(M71=1,Apoio!$L$2,IF(M71=2,Apoio!$L$3,IF(M71=3,Apoio!$L$4,IF(M71=4,Apoio!$L$5,0)))))</f>
        <v>0</v>
      </c>
      <c r="O71" s="146">
        <v>3</v>
      </c>
      <c r="P71" s="147">
        <v>46023</v>
      </c>
      <c r="Q71" s="148">
        <f>+IF(OR(TB_Cockpit_2026[[#This Row],[SPRINT]]="",TB_Cockpit_2026[[#This Row],[SPRINT]]=0),"",TB_Cockpit_2026[[#This Row],[Dt. INÍCIO]]+(TB_Cockpit_2026[[#This Row],[SPRINT]]*15))</f>
        <v>46068</v>
      </c>
      <c r="R71" s="149">
        <f ca="1">+IF(TB_Cockpit_2026[[#This Row],[Dt. INÍCIO]]&lt;&gt;"",IF(TB_Cockpit_2026[[#This Row],[Dt. INÍCIO]]&gt;TODAY(),0,(TODAY()-TB_Cockpit_2026[[#This Row],[Dt. INÍCIO]])/(TB_Cockpit_2026[[#This Row],[TÉRMINO]]-TB_Cockpit_2026[[#This Row],[Dt. INÍCIO]])),"")</f>
        <v>0</v>
      </c>
      <c r="S71" s="150"/>
      <c r="T71" s="40">
        <f ca="1">+IF(TB_Cockpit_2026[[#This Row],[%Prev.]]=0,1,IF(TB_Cockpit_2026[[#This Row],[%Real]]&lt;TB_Cockpit_2026[[#This Row],[%Prev.]],0,IF(AND(TB_Cockpit_2026[[#This Row],[%Prev.]]&lt;&gt;"",TB_Cockpit_2026[[#This Row],[%Real]]=""),0,IF(TB_Cockpit_2026[[#This Row],[%Real]]&gt;=TB_Cockpit_2026[[#This Row],[%Prev.]],2,1))))</f>
        <v>1</v>
      </c>
      <c r="U71" s="128"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1" s="128"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1" s="128"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
      </c>
      <c r="X71"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71"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71" s="128"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71" s="128"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71" s="128"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71" s="128"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71" s="128"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71" s="128"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71" s="129"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71" s="43">
        <v>0</v>
      </c>
      <c r="AH71" s="35">
        <v>0</v>
      </c>
      <c r="AI71" s="35">
        <v>0</v>
      </c>
      <c r="AJ71" s="35">
        <v>0</v>
      </c>
      <c r="AK71" s="130">
        <f>+(TB_Cockpit_2026[[#This Row],[Encantar os Clientes]]*$AH$10)+(TB_Cockpit_2026[[#This Row],[Capital com Foco]]*$AJ$10)+(TB_Cockpit_2026[[#This Row],[Alta Rentabilidade]]*$AI$10)+IF(TB_Cockpit_2026[[#This Row],[u]]="u",4,0)</f>
        <v>0</v>
      </c>
      <c r="AL71" s="131">
        <v>0</v>
      </c>
      <c r="AM71" s="35">
        <v>0</v>
      </c>
      <c r="AN71" s="35">
        <v>0</v>
      </c>
      <c r="AO71" s="35">
        <v>0</v>
      </c>
      <c r="AP71" s="35">
        <v>0</v>
      </c>
      <c r="AQ71" s="21">
        <f>SUM(TB_Cockpit_2026[[#This Row],[K1]:[K5]])</f>
        <v>0</v>
      </c>
      <c r="AR71" s="27">
        <f>+TB_Cockpit_2026[[#This Row],[Relev.]]+TB_Cockpit_2026[[#This Row],[SCORE]]</f>
        <v>0</v>
      </c>
      <c r="AS71"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71" s="39"/>
      <c r="AU71" s="184"/>
    </row>
    <row r="72" spans="2:47" ht="18" x14ac:dyDescent="0.2">
      <c r="B72" s="139" t="s">
        <v>229</v>
      </c>
      <c r="C72" s="140"/>
      <c r="D72" s="141">
        <v>1</v>
      </c>
      <c r="E72" s="142" t="s">
        <v>230</v>
      </c>
      <c r="F72" s="142" t="s">
        <v>0</v>
      </c>
      <c r="G72" s="143" t="s">
        <v>77</v>
      </c>
      <c r="H72" s="142" t="s">
        <v>148</v>
      </c>
      <c r="I72" s="152" t="s">
        <v>220</v>
      </c>
      <c r="J72" s="144" t="s">
        <v>224</v>
      </c>
      <c r="K72" s="35">
        <v>0</v>
      </c>
      <c r="L72" s="145">
        <v>24000</v>
      </c>
      <c r="M72" s="35">
        <v>0</v>
      </c>
      <c r="N72" s="145">
        <v>90000</v>
      </c>
      <c r="O72" s="146">
        <v>20</v>
      </c>
      <c r="P72" s="147">
        <v>46082</v>
      </c>
      <c r="Q72" s="148">
        <f>+IF(OR(TB_Cockpit_2026[[#This Row],[SPRINT]]="",TB_Cockpit_2026[[#This Row],[SPRINT]]=0),"",TB_Cockpit_2026[[#This Row],[Dt. INÍCIO]]+(TB_Cockpit_2026[[#This Row],[SPRINT]]*15))</f>
        <v>46382</v>
      </c>
      <c r="R72" s="149">
        <f ca="1">+IF(TB_Cockpit_2026[[#This Row],[Dt. INÍCIO]]&lt;&gt;"",IF(TB_Cockpit_2026[[#This Row],[Dt. INÍCIO]]&gt;TODAY(),0,(TODAY()-TB_Cockpit_2026[[#This Row],[Dt. INÍCIO]])/(TB_Cockpit_2026[[#This Row],[TÉRMINO]]-TB_Cockpit_2026[[#This Row],[Dt. INÍCIO]])),"")</f>
        <v>0</v>
      </c>
      <c r="S72" s="150"/>
      <c r="T72" s="40">
        <f ca="1">+IF(TB_Cockpit_2026[[#This Row],[%Prev.]]=0,1,IF(TB_Cockpit_2026[[#This Row],[%Real]]&lt;TB_Cockpit_2026[[#This Row],[%Prev.]],0,IF(AND(TB_Cockpit_2026[[#This Row],[%Prev.]]&lt;&gt;"",TB_Cockpit_2026[[#This Row],[%Real]]=""),0,IF(TB_Cockpit_2026[[#This Row],[%Real]]&gt;=TB_Cockpit_2026[[#This Row],[%Prev.]],2,1))))</f>
        <v>1</v>
      </c>
      <c r="U72"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
      </c>
      <c r="V72"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
      </c>
      <c r="W72"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2"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2"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2"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2"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2"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2"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2"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2"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2"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2" s="43">
        <v>1</v>
      </c>
      <c r="AH72" s="17">
        <v>2</v>
      </c>
      <c r="AI72" s="17">
        <v>3</v>
      </c>
      <c r="AJ72" s="17">
        <v>4</v>
      </c>
      <c r="AK72" s="18">
        <f>+(TB_Cockpit_2026[[#This Row],[Encantar os Clientes]]*$AH$10)+(TB_Cockpit_2026[[#This Row],[Capital com Foco]]*$AJ$10)+(TB_Cockpit_2026[[#This Row],[Alta Rentabilidade]]*$AI$10)+IF(TB_Cockpit_2026[[#This Row],[u]]="u",4,0)</f>
        <v>11</v>
      </c>
      <c r="AL72" s="19">
        <v>2</v>
      </c>
      <c r="AM72" s="20">
        <v>2</v>
      </c>
      <c r="AN72" s="20">
        <v>3</v>
      </c>
      <c r="AO72" s="20">
        <v>0</v>
      </c>
      <c r="AP72" s="20">
        <v>2</v>
      </c>
      <c r="AQ72" s="21">
        <f>SUM(TB_Cockpit_2026[[#This Row],[K1]:[K5]])</f>
        <v>9</v>
      </c>
      <c r="AR72" s="27">
        <f>+TB_Cockpit_2026[[#This Row],[Relev.]]+TB_Cockpit_2026[[#This Row],[SCORE]]</f>
        <v>20</v>
      </c>
      <c r="AS72"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72" s="39"/>
      <c r="AU72" s="184"/>
    </row>
    <row r="73" spans="2:47" ht="18" x14ac:dyDescent="0.2">
      <c r="B73" s="139" t="s">
        <v>231</v>
      </c>
      <c r="C73" s="140"/>
      <c r="D73" s="141">
        <v>1</v>
      </c>
      <c r="E73" s="142" t="s">
        <v>232</v>
      </c>
      <c r="F73" s="142" t="s">
        <v>0</v>
      </c>
      <c r="G73" s="143" t="s">
        <v>77</v>
      </c>
      <c r="H73" s="142" t="s">
        <v>148</v>
      </c>
      <c r="I73" s="144" t="s">
        <v>220</v>
      </c>
      <c r="J73" s="144" t="s">
        <v>224</v>
      </c>
      <c r="K73" s="35">
        <v>0</v>
      </c>
      <c r="L73" s="145">
        <f>+IF(K73=0,0,IF(K73=1,Apoio!$H$2,IF(K73=2,Apoio!$H$3,IF(K73=3,Apoio!$H$4,IF(K73=4,Apoio!$H$5,0)))))</f>
        <v>0</v>
      </c>
      <c r="M73" s="35">
        <v>0</v>
      </c>
      <c r="N73" s="145">
        <v>240000</v>
      </c>
      <c r="O73" s="146">
        <v>24</v>
      </c>
      <c r="P73" s="147">
        <v>46027</v>
      </c>
      <c r="Q73" s="148">
        <f>+IF(OR(TB_Cockpit_2026[[#This Row],[SPRINT]]="",TB_Cockpit_2026[[#This Row],[SPRINT]]=0),"",TB_Cockpit_2026[[#This Row],[Dt. INÍCIO]]+(TB_Cockpit_2026[[#This Row],[SPRINT]]*15))</f>
        <v>46387</v>
      </c>
      <c r="R73" s="149">
        <f ca="1">+IF(TB_Cockpit_2026[[#This Row],[Dt. INÍCIO]]&lt;&gt;"",IF(TB_Cockpit_2026[[#This Row],[Dt. INÍCIO]]&gt;TODAY(),0,(TODAY()-TB_Cockpit_2026[[#This Row],[Dt. INÍCIO]])/(TB_Cockpit_2026[[#This Row],[TÉRMINO]]-TB_Cockpit_2026[[#This Row],[Dt. INÍCIO]])),"")</f>
        <v>0</v>
      </c>
      <c r="S73" s="150"/>
      <c r="T73" s="40">
        <f ca="1">+IF(TB_Cockpit_2026[[#This Row],[%Prev.]]=0,1,IF(TB_Cockpit_2026[[#This Row],[%Real]]&lt;TB_Cockpit_2026[[#This Row],[%Prev.]],0,IF(AND(TB_Cockpit_2026[[#This Row],[%Prev.]]&lt;&gt;"",TB_Cockpit_2026[[#This Row],[%Real]]=""),0,IF(TB_Cockpit_2026[[#This Row],[%Real]]&gt;=TB_Cockpit_2026[[#This Row],[%Prev.]],2,1))))</f>
        <v>1</v>
      </c>
      <c r="U73"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3"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3"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3"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3"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3"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3"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3"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3"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3"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3"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3"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3" s="43">
        <v>4</v>
      </c>
      <c r="AH73" s="17">
        <v>2</v>
      </c>
      <c r="AI73" s="17">
        <v>4</v>
      </c>
      <c r="AJ73" s="17">
        <v>4</v>
      </c>
      <c r="AK73" s="18">
        <f>+(TB_Cockpit_2026[[#This Row],[Encantar os Clientes]]*$AH$10)+(TB_Cockpit_2026[[#This Row],[Capital com Foco]]*$AJ$10)+(TB_Cockpit_2026[[#This Row],[Alta Rentabilidade]]*$AI$10)+IF(TB_Cockpit_2026[[#This Row],[u]]="u",4,0)</f>
        <v>12</v>
      </c>
      <c r="AL73" s="19">
        <v>2</v>
      </c>
      <c r="AM73" s="20">
        <v>2</v>
      </c>
      <c r="AN73" s="20">
        <v>2</v>
      </c>
      <c r="AO73" s="20">
        <v>1</v>
      </c>
      <c r="AP73" s="20">
        <v>2</v>
      </c>
      <c r="AQ73" s="21">
        <f>SUM(TB_Cockpit_2026[[#This Row],[K1]:[K5]])</f>
        <v>9</v>
      </c>
      <c r="AR73" s="27">
        <f>+TB_Cockpit_2026[[#This Row],[Relev.]]+TB_Cockpit_2026[[#This Row],[SCORE]]</f>
        <v>21</v>
      </c>
      <c r="AS73"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73" s="39"/>
      <c r="AU73" s="184"/>
    </row>
    <row r="74" spans="2:47" ht="18" x14ac:dyDescent="0.2">
      <c r="B74" s="139" t="s">
        <v>233</v>
      </c>
      <c r="C74" s="140"/>
      <c r="D74" s="141">
        <v>1</v>
      </c>
      <c r="E74" s="142" t="s">
        <v>234</v>
      </c>
      <c r="F74" s="142" t="s">
        <v>0</v>
      </c>
      <c r="G74" s="143" t="s">
        <v>64</v>
      </c>
      <c r="H74" s="142" t="s">
        <v>70</v>
      </c>
      <c r="I74" s="144" t="s">
        <v>220</v>
      </c>
      <c r="J74" s="144" t="s">
        <v>224</v>
      </c>
      <c r="K74" s="35">
        <v>0</v>
      </c>
      <c r="L74" s="145">
        <v>24000</v>
      </c>
      <c r="M74" s="35">
        <v>0</v>
      </c>
      <c r="N74" s="145">
        <f>+IF(M74=0,0,IF(M74=1,Apoio!$L$2,IF(M74=2,Apoio!$L$3,IF(M74=3,Apoio!$L$4,IF(M74=4,Apoio!$L$5,0)))))</f>
        <v>0</v>
      </c>
      <c r="O74" s="146">
        <v>24</v>
      </c>
      <c r="P74" s="147">
        <v>46023</v>
      </c>
      <c r="Q74" s="148">
        <f>+IF(OR(TB_Cockpit_2026[[#This Row],[SPRINT]]="",TB_Cockpit_2026[[#This Row],[SPRINT]]=0),"",TB_Cockpit_2026[[#This Row],[Dt. INÍCIO]]+(TB_Cockpit_2026[[#This Row],[SPRINT]]*15))</f>
        <v>46383</v>
      </c>
      <c r="R74" s="149">
        <f ca="1">+IF(TB_Cockpit_2026[[#This Row],[Dt. INÍCIO]]&lt;&gt;"",IF(TB_Cockpit_2026[[#This Row],[Dt. INÍCIO]]&gt;TODAY(),0,(TODAY()-TB_Cockpit_2026[[#This Row],[Dt. INÍCIO]])/(TB_Cockpit_2026[[#This Row],[TÉRMINO]]-TB_Cockpit_2026[[#This Row],[Dt. INÍCIO]])),"")</f>
        <v>0</v>
      </c>
      <c r="S74" s="150"/>
      <c r="T74" s="40">
        <f ca="1">+IF(TB_Cockpit_2026[[#This Row],[%Prev.]]=0,1,IF(TB_Cockpit_2026[[#This Row],[%Real]]&lt;TB_Cockpit_2026[[#This Row],[%Prev.]],0,IF(AND(TB_Cockpit_2026[[#This Row],[%Prev.]]&lt;&gt;"",TB_Cockpit_2026[[#This Row],[%Real]]=""),0,IF(TB_Cockpit_2026[[#This Row],[%Real]]&gt;=TB_Cockpit_2026[[#This Row],[%Prev.]],2,1))))</f>
        <v>1</v>
      </c>
      <c r="U74"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4"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4"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4"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4"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4"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4"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4"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4"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4"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4"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4"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4" s="43">
        <v>2</v>
      </c>
      <c r="AH74" s="17">
        <v>4</v>
      </c>
      <c r="AI74" s="17">
        <v>1</v>
      </c>
      <c r="AJ74" s="17">
        <v>1</v>
      </c>
      <c r="AK74" s="18">
        <f>+(TB_Cockpit_2026[[#This Row],[Encantar os Clientes]]*$AH$10)+(TB_Cockpit_2026[[#This Row],[Capital com Foco]]*$AJ$10)+(TB_Cockpit_2026[[#This Row],[Alta Rentabilidade]]*$AI$10)+IF(TB_Cockpit_2026[[#This Row],[u]]="u",4,0)</f>
        <v>10</v>
      </c>
      <c r="AL74" s="19">
        <v>0</v>
      </c>
      <c r="AM74" s="20">
        <v>0</v>
      </c>
      <c r="AN74" s="20">
        <v>0</v>
      </c>
      <c r="AO74" s="20">
        <v>1</v>
      </c>
      <c r="AP74" s="20">
        <v>2</v>
      </c>
      <c r="AQ74" s="21">
        <f>SUM(TB_Cockpit_2026[[#This Row],[K1]:[K5]])</f>
        <v>3</v>
      </c>
      <c r="AR74" s="27">
        <f>+TB_Cockpit_2026[[#This Row],[Relev.]]+TB_Cockpit_2026[[#This Row],[SCORE]]</f>
        <v>13</v>
      </c>
      <c r="AS74"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Q4</v>
      </c>
      <c r="AT74" s="39"/>
      <c r="AU74" s="184"/>
    </row>
    <row r="75" spans="2:47" ht="18" x14ac:dyDescent="0.2">
      <c r="B75" s="139" t="s">
        <v>235</v>
      </c>
      <c r="C75" s="140"/>
      <c r="D75" s="141">
        <v>1</v>
      </c>
      <c r="E75" s="142" t="s">
        <v>236</v>
      </c>
      <c r="F75" s="142" t="s">
        <v>2</v>
      </c>
      <c r="G75" s="143" t="s">
        <v>64</v>
      </c>
      <c r="H75" s="142" t="s">
        <v>70</v>
      </c>
      <c r="I75" s="144" t="s">
        <v>220</v>
      </c>
      <c r="J75" s="144" t="s">
        <v>224</v>
      </c>
      <c r="K75" s="35">
        <v>0</v>
      </c>
      <c r="L75" s="145">
        <f>+IF(K75=0,0,IF(K75=1,Apoio!$H$2,IF(K75=2,Apoio!$H$3,IF(K75=3,Apoio!$H$4,IF(K75=4,Apoio!$H$5,0)))))</f>
        <v>0</v>
      </c>
      <c r="M75" s="35">
        <v>0</v>
      </c>
      <c r="N75" s="145">
        <f>+IF(M75=0,0,IF(M75=1,Apoio!$L$2,IF(M75=2,Apoio!$L$3,IF(M75=3,Apoio!$L$4,IF(M75=4,Apoio!$L$5,0)))))</f>
        <v>0</v>
      </c>
      <c r="O75" s="146">
        <v>5</v>
      </c>
      <c r="P75" s="147">
        <v>46023</v>
      </c>
      <c r="Q75" s="148">
        <f>+IF(OR(TB_Cockpit_2026[[#This Row],[SPRINT]]="",TB_Cockpit_2026[[#This Row],[SPRINT]]=0),"",TB_Cockpit_2026[[#This Row],[Dt. INÍCIO]]+(TB_Cockpit_2026[[#This Row],[SPRINT]]*15))</f>
        <v>46098</v>
      </c>
      <c r="R75" s="149">
        <f ca="1">+IF(TB_Cockpit_2026[[#This Row],[Dt. INÍCIO]]&lt;&gt;"",IF(TB_Cockpit_2026[[#This Row],[Dt. INÍCIO]]&gt;TODAY(),0,(TODAY()-TB_Cockpit_2026[[#This Row],[Dt. INÍCIO]])/(TB_Cockpit_2026[[#This Row],[TÉRMINO]]-TB_Cockpit_2026[[#This Row],[Dt. INÍCIO]])),"")</f>
        <v>0</v>
      </c>
      <c r="S75" s="150"/>
      <c r="T75" s="40">
        <f ca="1">+IF(TB_Cockpit_2026[[#This Row],[%Prev.]]=0,1,IF(TB_Cockpit_2026[[#This Row],[%Real]]&lt;TB_Cockpit_2026[[#This Row],[%Prev.]],0,IF(AND(TB_Cockpit_2026[[#This Row],[%Prev.]]&lt;&gt;"",TB_Cockpit_2026[[#This Row],[%Real]]=""),0,IF(TB_Cockpit_2026[[#This Row],[%Real]]&gt;=TB_Cockpit_2026[[#This Row],[%Prev.]],2,1))))</f>
        <v>1</v>
      </c>
      <c r="U75"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5"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5"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5"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75"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75"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75"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75"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75"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75"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75"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75"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75" s="178">
        <v>0</v>
      </c>
      <c r="AH75" s="17">
        <v>0</v>
      </c>
      <c r="AI75" s="17">
        <v>3</v>
      </c>
      <c r="AJ75" s="17">
        <v>3</v>
      </c>
      <c r="AK75" s="18">
        <f>+(TB_Cockpit_2026[[#This Row],[Encantar os Clientes]]*$AH$10)+(TB_Cockpit_2026[[#This Row],[Capital com Foco]]*$AJ$10)+(TB_Cockpit_2026[[#This Row],[Alta Rentabilidade]]*$AI$10)+IF(TB_Cockpit_2026[[#This Row],[u]]="u",4,0)</f>
        <v>6</v>
      </c>
      <c r="AL75" s="180">
        <v>3</v>
      </c>
      <c r="AM75" s="20">
        <v>3</v>
      </c>
      <c r="AN75" s="20">
        <v>3</v>
      </c>
      <c r="AO75" s="20">
        <v>3</v>
      </c>
      <c r="AP75" s="20">
        <v>0</v>
      </c>
      <c r="AQ75" s="21">
        <f>SUM(TB_Cockpit_2026[[#This Row],[K1]:[K5]])</f>
        <v>12</v>
      </c>
      <c r="AR75" s="27">
        <f>+TB_Cockpit_2026[[#This Row],[Relev.]]+TB_Cockpit_2026[[#This Row],[SCORE]]</f>
        <v>18</v>
      </c>
      <c r="AS75"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Q2</v>
      </c>
      <c r="AT75" s="39"/>
      <c r="AU75" s="184"/>
    </row>
    <row r="76" spans="2:47" ht="19" x14ac:dyDescent="0.2">
      <c r="B76" s="139" t="s">
        <v>237</v>
      </c>
      <c r="C76" s="140" t="s">
        <v>18</v>
      </c>
      <c r="D76" s="141">
        <v>1</v>
      </c>
      <c r="E76" s="142" t="s">
        <v>238</v>
      </c>
      <c r="F76" s="142" t="s">
        <v>0</v>
      </c>
      <c r="G76" s="143" t="s">
        <v>77</v>
      </c>
      <c r="H76" s="142" t="s">
        <v>65</v>
      </c>
      <c r="I76" s="152" t="s">
        <v>220</v>
      </c>
      <c r="J76" s="144" t="s">
        <v>224</v>
      </c>
      <c r="K76" s="35">
        <v>0</v>
      </c>
      <c r="L76" s="145">
        <v>90000</v>
      </c>
      <c r="M76" s="35">
        <v>0</v>
      </c>
      <c r="N76" s="145">
        <f>+IF(M76=0,0,IF(M76=1,Apoio!$L$2,IF(M76=2,Apoio!$L$3,IF(M76=3,Apoio!$L$4,IF(M76=4,Apoio!$L$5,0)))))</f>
        <v>0</v>
      </c>
      <c r="O76" s="146">
        <v>24</v>
      </c>
      <c r="P76" s="147">
        <v>46023</v>
      </c>
      <c r="Q76" s="148">
        <f>+IF(OR(TB_Cockpit_2026[[#This Row],[SPRINT]]="",TB_Cockpit_2026[[#This Row],[SPRINT]]=0),"",TB_Cockpit_2026[[#This Row],[Dt. INÍCIO]]+(TB_Cockpit_2026[[#This Row],[SPRINT]]*15))</f>
        <v>46383</v>
      </c>
      <c r="R76" s="149">
        <f ca="1">+IF(TB_Cockpit_2026[[#This Row],[Dt. INÍCIO]]&lt;&gt;"",IF(TB_Cockpit_2026[[#This Row],[Dt. INÍCIO]]&gt;TODAY(),0,(TODAY()-TB_Cockpit_2026[[#This Row],[Dt. INÍCIO]])/(TB_Cockpit_2026[[#This Row],[TÉRMINO]]-TB_Cockpit_2026[[#This Row],[Dt. INÍCIO]])),"")</f>
        <v>0</v>
      </c>
      <c r="S76" s="150"/>
      <c r="T76" s="40">
        <f ca="1">+IF(TB_Cockpit_2026[[#This Row],[%Prev.]]=0,1,IF(TB_Cockpit_2026[[#This Row],[%Real]]&lt;TB_Cockpit_2026[[#This Row],[%Prev.]],0,IF(AND(TB_Cockpit_2026[[#This Row],[%Prev.]]&lt;&gt;"",TB_Cockpit_2026[[#This Row],[%Real]]=""),0,IF(TB_Cockpit_2026[[#This Row],[%Real]]&gt;=TB_Cockpit_2026[[#This Row],[%Prev.]],2,1))))</f>
        <v>1</v>
      </c>
      <c r="U76"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6"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6"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6"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6"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6"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6"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6"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6"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6"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6"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6"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6" s="178">
        <v>2</v>
      </c>
      <c r="AH76" s="17">
        <v>1</v>
      </c>
      <c r="AI76" s="17">
        <v>4</v>
      </c>
      <c r="AJ76" s="17">
        <v>4</v>
      </c>
      <c r="AK76" s="18">
        <f>+(TB_Cockpit_2026[[#This Row],[Encantar os Clientes]]*$AH$10)+(TB_Cockpit_2026[[#This Row],[Capital com Foco]]*$AJ$10)+(TB_Cockpit_2026[[#This Row],[Alta Rentabilidade]]*$AI$10)+IF(TB_Cockpit_2026[[#This Row],[u]]="u",4,0)</f>
        <v>14</v>
      </c>
      <c r="AL76" s="180">
        <v>0</v>
      </c>
      <c r="AM76" s="20">
        <v>4</v>
      </c>
      <c r="AN76" s="20">
        <v>2</v>
      </c>
      <c r="AO76" s="20">
        <v>4</v>
      </c>
      <c r="AP76" s="20">
        <v>4</v>
      </c>
      <c r="AQ76" s="21">
        <f>SUM(TB_Cockpit_2026[[#This Row],[K1]:[K5]])</f>
        <v>14</v>
      </c>
      <c r="AR76" s="27">
        <f>+TB_Cockpit_2026[[#This Row],[Relev.]]+TB_Cockpit_2026[[#This Row],[SCORE]]</f>
        <v>28</v>
      </c>
      <c r="AS76"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Q1</v>
      </c>
      <c r="AT76" s="39"/>
      <c r="AU76" s="184"/>
    </row>
    <row r="77" spans="2:47" ht="18" x14ac:dyDescent="0.2">
      <c r="B77" s="139" t="s">
        <v>239</v>
      </c>
      <c r="C77" s="140"/>
      <c r="D77" s="141">
        <v>1</v>
      </c>
      <c r="E77" s="142" t="s">
        <v>240</v>
      </c>
      <c r="F77" s="142" t="s">
        <v>0</v>
      </c>
      <c r="G77" s="143" t="s">
        <v>64</v>
      </c>
      <c r="H77" s="142" t="s">
        <v>70</v>
      </c>
      <c r="I77" s="144" t="s">
        <v>220</v>
      </c>
      <c r="J77" s="144" t="s">
        <v>224</v>
      </c>
      <c r="K77" s="35">
        <v>0</v>
      </c>
      <c r="L77" s="145">
        <f>+IF(K77=0,0,IF(K77=1,Apoio!$H$2,IF(K77=2,Apoio!$H$3,IF(K77=3,Apoio!$H$4,IF(K77=4,Apoio!$H$5,0)))))</f>
        <v>0</v>
      </c>
      <c r="M77" s="35">
        <v>0</v>
      </c>
      <c r="N77" s="145">
        <v>48000</v>
      </c>
      <c r="O77" s="146">
        <v>24</v>
      </c>
      <c r="P77" s="147">
        <v>46023</v>
      </c>
      <c r="Q77" s="148">
        <f>+IF(OR(TB_Cockpit_2026[[#This Row],[SPRINT]]="",TB_Cockpit_2026[[#This Row],[SPRINT]]=0),"",TB_Cockpit_2026[[#This Row],[Dt. INÍCIO]]+(TB_Cockpit_2026[[#This Row],[SPRINT]]*15))</f>
        <v>46383</v>
      </c>
      <c r="R77" s="149">
        <f ca="1">+IF(TB_Cockpit_2026[[#This Row],[Dt. INÍCIO]]&lt;&gt;"",IF(TB_Cockpit_2026[[#This Row],[Dt. INÍCIO]]&gt;TODAY(),0,(TODAY()-TB_Cockpit_2026[[#This Row],[Dt. INÍCIO]])/(TB_Cockpit_2026[[#This Row],[TÉRMINO]]-TB_Cockpit_2026[[#This Row],[Dt. INÍCIO]])),"")</f>
        <v>0</v>
      </c>
      <c r="S77" s="150"/>
      <c r="T77" s="40">
        <f ca="1">+IF(TB_Cockpit_2026[[#This Row],[%Prev.]]=0,1,IF(TB_Cockpit_2026[[#This Row],[%Real]]&lt;TB_Cockpit_2026[[#This Row],[%Prev.]],0,IF(AND(TB_Cockpit_2026[[#This Row],[%Prev.]]&lt;&gt;"",TB_Cockpit_2026[[#This Row],[%Real]]=""),0,IF(TB_Cockpit_2026[[#This Row],[%Real]]&gt;=TB_Cockpit_2026[[#This Row],[%Prev.]],2,1))))</f>
        <v>1</v>
      </c>
      <c r="U77"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7"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7"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7"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x</v>
      </c>
      <c r="Y77"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x</v>
      </c>
      <c r="Z77"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x</v>
      </c>
      <c r="AA77"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x</v>
      </c>
      <c r="AB77"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x</v>
      </c>
      <c r="AC77"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x</v>
      </c>
      <c r="AD77"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x</v>
      </c>
      <c r="AE77"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x</v>
      </c>
      <c r="AF77"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x</v>
      </c>
      <c r="AG77" s="178">
        <v>1</v>
      </c>
      <c r="AH77" s="17">
        <v>4</v>
      </c>
      <c r="AI77" s="17">
        <v>2</v>
      </c>
      <c r="AJ77" s="17">
        <v>2</v>
      </c>
      <c r="AK77" s="18">
        <f>+(TB_Cockpit_2026[[#This Row],[Encantar os Clientes]]*$AH$10)+(TB_Cockpit_2026[[#This Row],[Capital com Foco]]*$AJ$10)+(TB_Cockpit_2026[[#This Row],[Alta Rentabilidade]]*$AI$10)+IF(TB_Cockpit_2026[[#This Row],[u]]="u",4,0)</f>
        <v>12</v>
      </c>
      <c r="AL77" s="180">
        <v>1</v>
      </c>
      <c r="AM77" s="20">
        <v>1</v>
      </c>
      <c r="AN77" s="20">
        <v>1</v>
      </c>
      <c r="AO77" s="20">
        <v>1</v>
      </c>
      <c r="AP77" s="20">
        <v>4</v>
      </c>
      <c r="AQ77" s="21">
        <f>SUM(TB_Cockpit_2026[[#This Row],[K1]:[K5]])</f>
        <v>8</v>
      </c>
      <c r="AR77" s="27">
        <f>+TB_Cockpit_2026[[#This Row],[Relev.]]+TB_Cockpit_2026[[#This Row],[SCORE]]</f>
        <v>20</v>
      </c>
      <c r="AS77"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77" s="39"/>
      <c r="AU77" s="184"/>
    </row>
    <row r="78" spans="2:47" ht="19" x14ac:dyDescent="0.2">
      <c r="B78" s="139" t="s">
        <v>241</v>
      </c>
      <c r="C78" s="140" t="s">
        <v>18</v>
      </c>
      <c r="D78" s="141">
        <v>1</v>
      </c>
      <c r="E78" s="142" t="s">
        <v>242</v>
      </c>
      <c r="F78" s="142" t="s">
        <v>0</v>
      </c>
      <c r="G78" s="143" t="s">
        <v>64</v>
      </c>
      <c r="H78" s="142" t="s">
        <v>78</v>
      </c>
      <c r="I78" s="152" t="s">
        <v>220</v>
      </c>
      <c r="J78" s="144" t="s">
        <v>224</v>
      </c>
      <c r="K78" s="35">
        <v>0</v>
      </c>
      <c r="L78" s="145">
        <f>+IF(K78=0,0,IF(K78=1,Apoio!$H$2,IF(K78=2,Apoio!$H$3,IF(K78=3,Apoio!$H$4,IF(K78=4,Apoio!$H$5,0)))))</f>
        <v>0</v>
      </c>
      <c r="M78" s="35">
        <v>0</v>
      </c>
      <c r="N78" s="145">
        <f>+IF(M78=0,0,IF(M78=1,Apoio!$L$2,IF(M78=2,Apoio!$L$3,IF(M78=3,Apoio!$L$4,IF(M78=4,Apoio!$L$5,0)))))</f>
        <v>0</v>
      </c>
      <c r="O78" s="146">
        <v>5</v>
      </c>
      <c r="P78" s="147">
        <v>46023</v>
      </c>
      <c r="Q78" s="148">
        <f>+IF(OR(TB_Cockpit_2026[[#This Row],[SPRINT]]="",TB_Cockpit_2026[[#This Row],[SPRINT]]=0),"",TB_Cockpit_2026[[#This Row],[Dt. INÍCIO]]+(TB_Cockpit_2026[[#This Row],[SPRINT]]*15))</f>
        <v>46098</v>
      </c>
      <c r="R78" s="149">
        <f ca="1">+IF(TB_Cockpit_2026[[#This Row],[Dt. INÍCIO]]&lt;&gt;"",IF(TB_Cockpit_2026[[#This Row],[Dt. INÍCIO]]&gt;TODAY(),0,(TODAY()-TB_Cockpit_2026[[#This Row],[Dt. INÍCIO]])/(TB_Cockpit_2026[[#This Row],[TÉRMINO]]-TB_Cockpit_2026[[#This Row],[Dt. INÍCIO]])),"")</f>
        <v>0</v>
      </c>
      <c r="S78" s="150"/>
      <c r="T78" s="40">
        <f ca="1">+IF(TB_Cockpit_2026[[#This Row],[%Prev.]]=0,1,IF(TB_Cockpit_2026[[#This Row],[%Real]]&lt;TB_Cockpit_2026[[#This Row],[%Prev.]],0,IF(AND(TB_Cockpit_2026[[#This Row],[%Prev.]]&lt;&gt;"",TB_Cockpit_2026[[#This Row],[%Real]]=""),0,IF(TB_Cockpit_2026[[#This Row],[%Real]]&gt;=TB_Cockpit_2026[[#This Row],[%Prev.]],2,1))))</f>
        <v>1</v>
      </c>
      <c r="U78" s="40" t="str">
        <f>+IF(OR(TB_Cockpit_2026[[#This Row],[Dt. INÍCIO]]="",TB_Cockpit_2026[[#This Row],[SPRINT]]=0),"",IF(VALUE(YEAR(TB_Cockpit_2026[[#This Row],[Dt. INÍCIO]]) &amp; RIGHT("00"&amp;MONTH(TB_Cockpit_2026[[#This Row],[Dt. INÍCIO]]),2))&lt;=202601,
  IF(VALUE(YEAR(TB_Cockpit_2026[[#This Row],[TÉRMINO]]) &amp; RIGHT("00"&amp;MONTH(TB_Cockpit_2026[[#This Row],[TÉRMINO]]),2))&gt;=202601,"x",""),""))</f>
        <v>x</v>
      </c>
      <c r="V78" s="40" t="str">
        <f>+IF(OR(TB_Cockpit_2026[[#This Row],[Dt. INÍCIO]]="",TB_Cockpit_2026[[#This Row],[SPRINT]]=0),"",IF(VALUE(YEAR(TB_Cockpit_2026[[#This Row],[Dt. INÍCIO]]) &amp; RIGHT("00"&amp;MONTH(TB_Cockpit_2026[[#This Row],[Dt. INÍCIO]]),2))&lt;=202602,
  IF(VALUE(YEAR(TB_Cockpit_2026[[#This Row],[TÉRMINO]]) &amp; RIGHT("00"&amp;MONTH(TB_Cockpit_2026[[#This Row],[TÉRMINO]]),2))&gt;=202602,"x",""),""))</f>
        <v>x</v>
      </c>
      <c r="W78" s="40" t="str">
        <f>+IF(OR(TB_Cockpit_2026[[#This Row],[Dt. INÍCIO]]="",TB_Cockpit_2026[[#This Row],[SPRINT]]=0),"",IF(VALUE(YEAR(TB_Cockpit_2026[[#This Row],[Dt. INÍCIO]]) &amp; RIGHT("00"&amp;MONTH(TB_Cockpit_2026[[#This Row],[Dt. INÍCIO]]),2))&lt;=202603,
  IF(VALUE(YEAR(TB_Cockpit_2026[[#This Row],[TÉRMINO]]) &amp; RIGHT("00"&amp;MONTH(TB_Cockpit_2026[[#This Row],[TÉRMINO]]),2))&gt;=202603,"x",""),""))</f>
        <v>x</v>
      </c>
      <c r="X78" s="151" t="str">
        <f>+IF(OR(TB_Cockpit_2026[[#This Row],[Dt. INÍCIO]]="",TB_Cockpit_2026[[#This Row],[SPRINT]]=0),"",IF(VALUE(YEAR(TB_Cockpit_2026[[#This Row],[Dt. INÍCIO]]) &amp; RIGHT("00"&amp;MONTH(TB_Cockpit_2026[[#This Row],[Dt. INÍCIO]]),2))&lt;=202604,
  IF(VALUE(YEAR(TB_Cockpit_2026[[#This Row],[TÉRMINO]]) &amp; RIGHT("00"&amp;MONTH(TB_Cockpit_2026[[#This Row],[TÉRMINO]]),2))&gt;=202604,"x",""),""))</f>
        <v/>
      </c>
      <c r="Y78" s="151" t="str">
        <f>+IF(OR(TB_Cockpit_2026[[#This Row],[Dt. INÍCIO]]="",TB_Cockpit_2026[[#This Row],[SPRINT]]=0),"",IF(VALUE(YEAR(TB_Cockpit_2026[[#This Row],[Dt. INÍCIO]]) &amp; RIGHT("00"&amp;MONTH(TB_Cockpit_2026[[#This Row],[Dt. INÍCIO]]),2))&lt;=202605,
  IF(VALUE(YEAR(TB_Cockpit_2026[[#This Row],[TÉRMINO]]) &amp; RIGHT("00"&amp;MONTH(TB_Cockpit_2026[[#This Row],[TÉRMINO]]),2))&gt;=202605,"x",""),""))</f>
        <v/>
      </c>
      <c r="Z78" s="40" t="str">
        <f>+IF(OR(TB_Cockpit_2026[[#This Row],[Dt. INÍCIO]]="",TB_Cockpit_2026[[#This Row],[SPRINT]]=0),"",IF(VALUE(YEAR(TB_Cockpit_2026[[#This Row],[Dt. INÍCIO]]) &amp; RIGHT("00"&amp;MONTH(TB_Cockpit_2026[[#This Row],[Dt. INÍCIO]]),2))&lt;=202606,
  IF(VALUE(YEAR(TB_Cockpit_2026[[#This Row],[TÉRMINO]]) &amp; RIGHT("00"&amp;MONTH(TB_Cockpit_2026[[#This Row],[TÉRMINO]]),2))&gt;=202606,"x",""),""))</f>
        <v/>
      </c>
      <c r="AA78" s="40" t="str">
        <f>+IF(OR(TB_Cockpit_2026[[#This Row],[Dt. INÍCIO]]="",TB_Cockpit_2026[[#This Row],[SPRINT]]=0),"",IF(VALUE(YEAR(TB_Cockpit_2026[[#This Row],[Dt. INÍCIO]]) &amp; RIGHT("00"&amp;MONTH(TB_Cockpit_2026[[#This Row],[Dt. INÍCIO]]),2))&lt;=202607,
  IF(VALUE(YEAR(TB_Cockpit_2026[[#This Row],[TÉRMINO]]) &amp; RIGHT("00"&amp;MONTH(TB_Cockpit_2026[[#This Row],[TÉRMINO]]),2))&gt;=202607,"x",""),""))</f>
        <v/>
      </c>
      <c r="AB78" s="40" t="str">
        <f>+IF(OR(TB_Cockpit_2026[[#This Row],[Dt. INÍCIO]]="",TB_Cockpit_2026[[#This Row],[SPRINT]]=0),"",IF(VALUE(YEAR(TB_Cockpit_2026[[#This Row],[Dt. INÍCIO]]) &amp; RIGHT("00"&amp;MONTH(TB_Cockpit_2026[[#This Row],[Dt. INÍCIO]]),2))&lt;=202608,
  IF(VALUE(YEAR(TB_Cockpit_2026[[#This Row],[TÉRMINO]]) &amp; RIGHT("00"&amp;MONTH(TB_Cockpit_2026[[#This Row],[TÉRMINO]]),2))&gt;=202608,"x",""),""))</f>
        <v/>
      </c>
      <c r="AC78" s="40" t="str">
        <f>+IF(OR(TB_Cockpit_2026[[#This Row],[Dt. INÍCIO]]="",TB_Cockpit_2026[[#This Row],[SPRINT]]=0),"",IF(VALUE(YEAR(TB_Cockpit_2026[[#This Row],[Dt. INÍCIO]]) &amp; RIGHT("00"&amp;MONTH(TB_Cockpit_2026[[#This Row],[Dt. INÍCIO]]),2))&lt;=202609,
  IF(VALUE(YEAR(TB_Cockpit_2026[[#This Row],[TÉRMINO]]) &amp; RIGHT("00"&amp;MONTH(TB_Cockpit_2026[[#This Row],[TÉRMINO]]),2))&gt;=202609,"x",""),""))</f>
        <v/>
      </c>
      <c r="AD78" s="40" t="str">
        <f>+IF(OR(TB_Cockpit_2026[[#This Row],[Dt. INÍCIO]]="",TB_Cockpit_2026[[#This Row],[SPRINT]]=0),"",IF(VALUE(YEAR(TB_Cockpit_2026[[#This Row],[Dt. INÍCIO]]) &amp; RIGHT("00"&amp;MONTH(TB_Cockpit_2026[[#This Row],[Dt. INÍCIO]]),2))&lt;=202610,
  IF(VALUE(YEAR(TB_Cockpit_2026[[#This Row],[TÉRMINO]]) &amp; RIGHT("00"&amp;MONTH(TB_Cockpit_2026[[#This Row],[TÉRMINO]]),2))&gt;=202610,"x",""),""))</f>
        <v/>
      </c>
      <c r="AE78" s="40" t="str">
        <f>+IF(OR(TB_Cockpit_2026[[#This Row],[Dt. INÍCIO]]="",TB_Cockpit_2026[[#This Row],[SPRINT]]=0),"",IF(VALUE(YEAR(TB_Cockpit_2026[[#This Row],[Dt. INÍCIO]]) &amp; RIGHT("00"&amp;MONTH(TB_Cockpit_2026[[#This Row],[Dt. INÍCIO]]),2))&lt;=202611,
  IF(VALUE(YEAR(TB_Cockpit_2026[[#This Row],[TÉRMINO]]) &amp; RIGHT("00"&amp;MONTH(TB_Cockpit_2026[[#This Row],[TÉRMINO]]),2))&gt;=202611,"x",""),""))</f>
        <v/>
      </c>
      <c r="AF78" s="41" t="str">
        <f>+IF(OR(TB_Cockpit_2026[[#This Row],[Dt. INÍCIO]]="",TB_Cockpit_2026[[#This Row],[SPRINT]]=0),"",IF(VALUE(YEAR(TB_Cockpit_2026[[#This Row],[Dt. INÍCIO]]) &amp; RIGHT("00"&amp;MONTH(TB_Cockpit_2026[[#This Row],[Dt. INÍCIO]]),2))&lt;=202612,
  IF(VALUE(YEAR(TB_Cockpit_2026[[#This Row],[TÉRMINO]]) &amp; RIGHT("00"&amp;MONTH(TB_Cockpit_2026[[#This Row],[TÉRMINO]]),2))&gt;=202612,"x",""),""))</f>
        <v/>
      </c>
      <c r="AG78" s="43">
        <v>0</v>
      </c>
      <c r="AH78" s="17">
        <v>3</v>
      </c>
      <c r="AI78" s="17">
        <v>2</v>
      </c>
      <c r="AJ78" s="17">
        <v>2</v>
      </c>
      <c r="AK78" s="18">
        <f>+(TB_Cockpit_2026[[#This Row],[Encantar os Clientes]]*$AH$10)+(TB_Cockpit_2026[[#This Row],[Capital com Foco]]*$AJ$10)+(TB_Cockpit_2026[[#This Row],[Alta Rentabilidade]]*$AI$10)+IF(TB_Cockpit_2026[[#This Row],[u]]="u",4,0)</f>
        <v>14</v>
      </c>
      <c r="AL78" s="19">
        <v>1</v>
      </c>
      <c r="AM78" s="20">
        <v>1</v>
      </c>
      <c r="AN78" s="20">
        <v>3</v>
      </c>
      <c r="AO78" s="20">
        <v>0</v>
      </c>
      <c r="AP78" s="20">
        <v>4</v>
      </c>
      <c r="AQ78" s="21">
        <f>SUM(TB_Cockpit_2026[[#This Row],[K1]:[K5]])</f>
        <v>9</v>
      </c>
      <c r="AR78" s="27">
        <f>+TB_Cockpit_2026[[#This Row],[Relev.]]+TB_Cockpit_2026[[#This Row],[SCORE]]</f>
        <v>23</v>
      </c>
      <c r="AS78" s="27" t="str">
        <f>+IF(AND(TB_Cockpit_2026[[#This Row],[SCORE]]&lt;=10,TB_Cockpit_2026[[#This Row],[Relev.]]&lt;=10),"Q4",IF(AND(TB_Cockpit_2026[[#This Row],[SCORE]]&gt;=11,TB_Cockpit_2026[[#This Row],[Relev.]]&lt;=10),"Q3",IF(AND(TB_Cockpit_2026[[#This Row],[SCORE]]&lt;=10,TB_Cockpit_2026[[#This Row],[Relev.]]&gt;=11),"Q2",IF(AND(TB_Cockpit_2026[[#This Row],[SCORE]]&gt;=11,TB_Cockpit_2026[[#This Row],[Relev.]]&gt;=11),"Q1",""))))</f>
        <v>Q3</v>
      </c>
      <c r="AT78" s="39"/>
      <c r="AU78" s="184"/>
    </row>
    <row r="79" spans="2:47" ht="16" thickBot="1" x14ac:dyDescent="0.25">
      <c r="B79" s="154"/>
      <c r="C79" s="49"/>
      <c r="D79" s="49"/>
      <c r="E79" s="126">
        <f>SUBTOTAL(103,TB_Cockpit_2026[INICIATIVAS PORTFÓLIO 2026])</f>
        <v>11</v>
      </c>
      <c r="F79" s="126"/>
      <c r="G79" s="126"/>
      <c r="H79" s="126"/>
      <c r="I79" s="155"/>
      <c r="J79" s="155"/>
      <c r="K79" s="155"/>
      <c r="L79" s="155"/>
      <c r="M79" s="155"/>
      <c r="N79" s="155"/>
      <c r="O79" s="156"/>
      <c r="P79" s="49"/>
      <c r="Q79" s="126"/>
      <c r="R79" s="126"/>
      <c r="S79" s="126"/>
      <c r="T79" s="126"/>
      <c r="U79" s="126"/>
      <c r="V79" s="126"/>
      <c r="W79" s="126"/>
      <c r="X79" s="126"/>
      <c r="Y79" s="126"/>
      <c r="Z79" s="126"/>
      <c r="AA79" s="126"/>
      <c r="AB79" s="126"/>
      <c r="AC79" s="126"/>
      <c r="AD79" s="126"/>
      <c r="AE79" s="126"/>
      <c r="AF79" s="127"/>
      <c r="AG79" s="123"/>
      <c r="AH79" s="123"/>
      <c r="AI79" s="123"/>
      <c r="AJ79" s="122"/>
      <c r="AK79" s="121"/>
      <c r="AL79" s="125"/>
      <c r="AM79" s="124"/>
      <c r="AN79" s="124"/>
      <c r="AO79" s="124"/>
      <c r="AP79" s="124"/>
      <c r="AT79" s="37"/>
    </row>
    <row r="80" spans="2:47" ht="16" thickTop="1" x14ac:dyDescent="0.2"/>
  </sheetData>
  <sheetProtection selectLockedCells="1" autoFilter="0"/>
  <mergeCells count="17">
    <mergeCell ref="AL1:AS2"/>
    <mergeCell ref="AL5:AM5"/>
    <mergeCell ref="AL3:AM3"/>
    <mergeCell ref="AL4:AM4"/>
    <mergeCell ref="AN5:AT5"/>
    <mergeCell ref="AN4:AT4"/>
    <mergeCell ref="AN3:AT3"/>
    <mergeCell ref="U10:AF10"/>
    <mergeCell ref="AL10:AP10"/>
    <mergeCell ref="K10:L10"/>
    <mergeCell ref="M10:N10"/>
    <mergeCell ref="AL6:AM6"/>
    <mergeCell ref="AL7:AM7"/>
    <mergeCell ref="AH8:AJ8"/>
    <mergeCell ref="AH9:AJ9"/>
    <mergeCell ref="AN6:AT6"/>
    <mergeCell ref="AN7:AT7"/>
  </mergeCells>
  <phoneticPr fontId="4" type="noConversion"/>
  <conditionalFormatting sqref="U12:AF78">
    <cfRule type="cellIs" dxfId="96" priority="23" operator="equal">
      <formula>"x"</formula>
    </cfRule>
  </conditionalFormatting>
  <conditionalFormatting sqref="M51:M66 K51:K66">
    <cfRule type="iconSet" priority="3170">
      <iconSet iconSet="5Rating" showValue="0">
        <cfvo type="percent" val="0"/>
        <cfvo type="num" val="1"/>
        <cfvo type="num" val="2"/>
        <cfvo type="num" val="3"/>
        <cfvo type="num" val="4"/>
      </iconSet>
    </cfRule>
  </conditionalFormatting>
  <conditionalFormatting sqref="AH51:AJ66">
    <cfRule type="iconSet" priority="3174">
      <iconSet iconSet="5Rating" showValue="0">
        <cfvo type="percent" val="0"/>
        <cfvo type="num" val="1"/>
        <cfvo type="num" val="2"/>
        <cfvo type="num" val="3"/>
        <cfvo type="num" val="4"/>
      </iconSet>
    </cfRule>
  </conditionalFormatting>
  <conditionalFormatting sqref="AL51:AP66">
    <cfRule type="iconSet" priority="3178">
      <iconSet iconSet="5Rating" showValue="0">
        <cfvo type="percent" val="0"/>
        <cfvo type="num" val="1"/>
        <cfvo type="num" val="2"/>
        <cfvo type="num" val="3"/>
        <cfvo type="num" val="4"/>
      </iconSet>
    </cfRule>
  </conditionalFormatting>
  <conditionalFormatting sqref="K12:K38 M12:M38">
    <cfRule type="iconSet" priority="3248">
      <iconSet iconSet="5Rating" showValue="0">
        <cfvo type="percent" val="0"/>
        <cfvo type="num" val="1"/>
        <cfvo type="num" val="2"/>
        <cfvo type="num" val="3"/>
        <cfvo type="num" val="4"/>
      </iconSet>
    </cfRule>
  </conditionalFormatting>
  <conditionalFormatting sqref="AH12:AJ38">
    <cfRule type="iconSet" priority="3252">
      <iconSet iconSet="5Rating" showValue="0">
        <cfvo type="percent" val="0"/>
        <cfvo type="num" val="1"/>
        <cfvo type="num" val="2"/>
        <cfvo type="num" val="3"/>
        <cfvo type="num" val="4"/>
      </iconSet>
    </cfRule>
  </conditionalFormatting>
  <conditionalFormatting sqref="AL12:AP38">
    <cfRule type="iconSet" priority="3256">
      <iconSet iconSet="5Rating" showValue="0">
        <cfvo type="percent" val="0"/>
        <cfvo type="num" val="1"/>
        <cfvo type="num" val="2"/>
        <cfvo type="num" val="3"/>
        <cfvo type="num" val="4"/>
      </iconSet>
    </cfRule>
  </conditionalFormatting>
  <conditionalFormatting sqref="K42:K50 M42:M50">
    <cfRule type="iconSet" priority="3282">
      <iconSet iconSet="5Rating" showValue="0">
        <cfvo type="percent" val="0"/>
        <cfvo type="num" val="1"/>
        <cfvo type="num" val="2"/>
        <cfvo type="num" val="3"/>
        <cfvo type="num" val="4"/>
      </iconSet>
    </cfRule>
  </conditionalFormatting>
  <conditionalFormatting sqref="AH42:AJ50">
    <cfRule type="iconSet" priority="3285">
      <iconSet iconSet="5Rating" showValue="0">
        <cfvo type="percent" val="0"/>
        <cfvo type="num" val="1"/>
        <cfvo type="num" val="2"/>
        <cfvo type="num" val="3"/>
        <cfvo type="num" val="4"/>
      </iconSet>
    </cfRule>
  </conditionalFormatting>
  <conditionalFormatting sqref="AL42:AP50">
    <cfRule type="iconSet" priority="3286">
      <iconSet iconSet="5Rating" showValue="0">
        <cfvo type="percent" val="0"/>
        <cfvo type="num" val="1"/>
        <cfvo type="num" val="2"/>
        <cfvo type="num" val="3"/>
        <cfvo type="num" val="4"/>
      </iconSet>
    </cfRule>
  </conditionalFormatting>
  <conditionalFormatting sqref="M39:M41 K39:K41">
    <cfRule type="iconSet" priority="3303">
      <iconSet iconSet="5Rating" showValue="0">
        <cfvo type="percent" val="0"/>
        <cfvo type="num" val="1"/>
        <cfvo type="num" val="2"/>
        <cfvo type="num" val="3"/>
        <cfvo type="num" val="4"/>
      </iconSet>
    </cfRule>
  </conditionalFormatting>
  <conditionalFormatting sqref="AH39:AJ41">
    <cfRule type="iconSet" priority="3307">
      <iconSet iconSet="5Rating" showValue="0">
        <cfvo type="percent" val="0"/>
        <cfvo type="num" val="1"/>
        <cfvo type="num" val="2"/>
        <cfvo type="num" val="3"/>
        <cfvo type="num" val="4"/>
      </iconSet>
    </cfRule>
  </conditionalFormatting>
  <conditionalFormatting sqref="AL39:AP41">
    <cfRule type="iconSet" priority="3311">
      <iconSet iconSet="5Rating" showValue="0">
        <cfvo type="percent" val="0"/>
        <cfvo type="num" val="1"/>
        <cfvo type="num" val="2"/>
        <cfvo type="num" val="3"/>
        <cfvo type="num" val="4"/>
      </iconSet>
    </cfRule>
  </conditionalFormatting>
  <conditionalFormatting sqref="M67:M78 K67:K78">
    <cfRule type="iconSet" priority="3345">
      <iconSet iconSet="5Rating" showValue="0">
        <cfvo type="percent" val="0"/>
        <cfvo type="num" val="1"/>
        <cfvo type="num" val="2"/>
        <cfvo type="num" val="3"/>
        <cfvo type="num" val="4"/>
      </iconSet>
    </cfRule>
  </conditionalFormatting>
  <conditionalFormatting sqref="AH67:AJ78">
    <cfRule type="iconSet" priority="3349">
      <iconSet iconSet="5Rating" showValue="0">
        <cfvo type="percent" val="0"/>
        <cfvo type="num" val="1"/>
        <cfvo type="num" val="2"/>
        <cfvo type="num" val="3"/>
        <cfvo type="num" val="4"/>
      </iconSet>
    </cfRule>
  </conditionalFormatting>
  <conditionalFormatting sqref="AL67:AP78">
    <cfRule type="iconSet" priority="3351">
      <iconSet iconSet="5Rating" showValue="0">
        <cfvo type="percent" val="0"/>
        <cfvo type="num" val="1"/>
        <cfvo type="num" val="2"/>
        <cfvo type="num" val="3"/>
        <cfvo type="num" val="4"/>
      </iconSet>
    </cfRule>
  </conditionalFormatting>
  <conditionalFormatting sqref="T12:T78">
    <cfRule type="iconSet" priority="3353">
      <iconSet iconSet="3Symbols" showValue="0">
        <cfvo type="percent" val="0"/>
        <cfvo type="num" val="1"/>
        <cfvo type="num" val="2"/>
      </iconSet>
    </cfRule>
  </conditionalFormatting>
  <dataValidations count="4">
    <dataValidation type="list" allowBlank="1" showInputMessage="1" showErrorMessage="1" sqref="M12:M78 K12:K78 AH12:AJ78 AL12:AP78" xr:uid="{863F5813-6756-4F7F-BCF6-791AC40CB573}">
      <formula1>"0,1,2,3,4"</formula1>
    </dataValidation>
    <dataValidation type="list" allowBlank="1" showInputMessage="1" showErrorMessage="1" sqref="G12:G78" xr:uid="{F6F5F97D-9448-47C6-85E0-F85E74F7FD7D}">
      <formula1>"BBF, Evolução"</formula1>
    </dataValidation>
    <dataValidation type="list" allowBlank="1" showInputMessage="1" showErrorMessage="1" sqref="H12:H78" xr:uid="{3E8BC3D8-7609-4860-B614-4F9CA54C31E8}">
      <formula1>"Ideia, Discussão, Demanda, Projeto, "</formula1>
    </dataValidation>
    <dataValidation type="list" allowBlank="1" showInputMessage="1" showErrorMessage="1" sqref="F12:F78" xr:uid="{61D42822-5ABA-47F5-BECF-9720C503E785}">
      <formula1>"Estratégico, Operacional"</formula1>
    </dataValidation>
  </dataValidations>
  <pageMargins left="0.23622047244094491" right="0.23622047244094491" top="0.74803149606299213" bottom="0.74803149606299213" header="0.31496062992125984" footer="0.31496062992125984"/>
  <pageSetup paperSize="9" scale="50" orientation="landscape" r:id="rId1"/>
  <headerFooter>
    <oddFooter>&amp;L_x000D_&amp;1#&amp;"Calibri"&amp;10&amp;K000000 Classificação: Público</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176" id="{22B7C4B2-7ACF-4F58-907A-162F806C0EAD}">
            <x14:iconSet iconSet="5Boxes" showValue="0">
              <x14:cfvo type="percent">
                <xm:f>0</xm:f>
              </x14:cfvo>
              <x14:cfvo type="num">
                <xm:f>1</xm:f>
              </x14:cfvo>
              <x14:cfvo type="num">
                <xm:f>2</xm:f>
              </x14:cfvo>
              <x14:cfvo type="num">
                <xm:f>3</xm:f>
              </x14:cfvo>
              <x14:cfvo type="num">
                <xm:f>4</xm:f>
              </x14:cfvo>
            </x14:iconSet>
          </x14:cfRule>
          <xm:sqref>AG51:AG66</xm:sqref>
        </x14:conditionalFormatting>
        <x14:conditionalFormatting xmlns:xm="http://schemas.microsoft.com/office/excel/2006/main">
          <x14:cfRule type="iconSet" priority="3254" id="{148AFDCA-1224-455C-8319-8BA7A2EA40C1}">
            <x14:iconSet iconSet="5Boxes" showValue="0">
              <x14:cfvo type="percent">
                <xm:f>0</xm:f>
              </x14:cfvo>
              <x14:cfvo type="num">
                <xm:f>1</xm:f>
              </x14:cfvo>
              <x14:cfvo type="num">
                <xm:f>2</xm:f>
              </x14:cfvo>
              <x14:cfvo type="num">
                <xm:f>3</xm:f>
              </x14:cfvo>
              <x14:cfvo type="num">
                <xm:f>4</xm:f>
              </x14:cfvo>
            </x14:iconSet>
          </x14:cfRule>
          <xm:sqref>AG12:AG38</xm:sqref>
        </x14:conditionalFormatting>
        <x14:conditionalFormatting xmlns:xm="http://schemas.microsoft.com/office/excel/2006/main">
          <x14:cfRule type="iconSet" priority="3284" id="{629B1DAD-8E79-4FD4-A321-8AF3EFFCDBBD}">
            <x14:iconSet iconSet="5Boxes" showValue="0">
              <x14:cfvo type="percent">
                <xm:f>0</xm:f>
              </x14:cfvo>
              <x14:cfvo type="num">
                <xm:f>1</xm:f>
              </x14:cfvo>
              <x14:cfvo type="num">
                <xm:f>2</xm:f>
              </x14:cfvo>
              <x14:cfvo type="num">
                <xm:f>3</xm:f>
              </x14:cfvo>
              <x14:cfvo type="num">
                <xm:f>4</xm:f>
              </x14:cfvo>
            </x14:iconSet>
          </x14:cfRule>
          <xm:sqref>AG42:AG50</xm:sqref>
        </x14:conditionalFormatting>
        <x14:conditionalFormatting xmlns:xm="http://schemas.microsoft.com/office/excel/2006/main">
          <x14:cfRule type="iconSet" priority="3309" id="{323C95F6-6FBA-447B-B8BA-568840829C66}">
            <x14:iconSet iconSet="5Boxes" showValue="0">
              <x14:cfvo type="percent">
                <xm:f>0</xm:f>
              </x14:cfvo>
              <x14:cfvo type="num">
                <xm:f>1</xm:f>
              </x14:cfvo>
              <x14:cfvo type="num">
                <xm:f>2</xm:f>
              </x14:cfvo>
              <x14:cfvo type="num">
                <xm:f>3</xm:f>
              </x14:cfvo>
              <x14:cfvo type="num">
                <xm:f>4</xm:f>
              </x14:cfvo>
            </x14:iconSet>
          </x14:cfRule>
          <xm:sqref>AG39:AG41</xm:sqref>
        </x14:conditionalFormatting>
        <x14:conditionalFormatting xmlns:xm="http://schemas.microsoft.com/office/excel/2006/main">
          <x14:cfRule type="iconSet" priority="3355" id="{58AF759D-C30C-4C50-B6D9-EADF09E4D149}">
            <x14:iconSet iconSet="5Boxes" showValue="0">
              <x14:cfvo type="percent">
                <xm:f>0</xm:f>
              </x14:cfvo>
              <x14:cfvo type="num">
                <xm:f>1</xm:f>
              </x14:cfvo>
              <x14:cfvo type="num">
                <xm:f>2</xm:f>
              </x14:cfvo>
              <x14:cfvo type="num">
                <xm:f>3</xm:f>
              </x14:cfvo>
              <x14:cfvo type="num">
                <xm:f>4</xm:f>
              </x14:cfvo>
            </x14:iconSet>
          </x14:cfRule>
          <xm:sqref>AG67:AG78</xm:sqref>
        </x14:conditionalFormatting>
      </x14:conditionalFormattings>
    </ext>
    <ext xmlns:x15="http://schemas.microsoft.com/office/spreadsheetml/2010/11/main" uri="{3A4CF648-6AED-40f4-86FF-DC5316D8AED3}">
      <x14:slicerList xmlns:x14="http://schemas.microsoft.com/office/spreadsheetml/2009/9/main">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5A8639-13A5-429E-A58E-73CDB8D53D86}">
  <sheetPr codeName="Planilha6"/>
  <dimension ref="A1:X36"/>
  <sheetViews>
    <sheetView showGridLines="0" showRowColHeaders="0" topLeftCell="B1" zoomScale="95" zoomScaleNormal="95" workbookViewId="0">
      <selection activeCell="Q4" sqref="Q4"/>
    </sheetView>
  </sheetViews>
  <sheetFormatPr baseColWidth="10" defaultColWidth="8.83203125" defaultRowHeight="15" x14ac:dyDescent="0.2"/>
  <cols>
    <col min="9" max="9" width="7.33203125" customWidth="1"/>
    <col min="10" max="10" width="8.33203125" hidden="1" customWidth="1"/>
    <col min="11" max="11" width="0.5" hidden="1" customWidth="1"/>
    <col min="12" max="12" width="1.5" hidden="1" customWidth="1"/>
    <col min="13" max="13" width="3.6640625" customWidth="1"/>
    <col min="14" max="14" width="60.5" customWidth="1"/>
    <col min="15" max="15" width="13.6640625" bestFit="1" customWidth="1"/>
    <col min="16" max="16" width="16" customWidth="1"/>
    <col min="17" max="17" width="4.33203125" customWidth="1"/>
    <col min="18" max="18" width="3.6640625" style="37" customWidth="1"/>
    <col min="19" max="19" width="11.1640625" customWidth="1"/>
    <col min="20" max="20" width="5.5" customWidth="1"/>
    <col min="21" max="21" width="5.5" bestFit="1" customWidth="1"/>
    <col min="22" max="22" width="11.5" bestFit="1" customWidth="1"/>
    <col min="23" max="23" width="13.1640625" bestFit="1" customWidth="1"/>
    <col min="24" max="24" width="24.5" bestFit="1" customWidth="1"/>
  </cols>
  <sheetData>
    <row r="1" spans="7:24" x14ac:dyDescent="0.2">
      <c r="R1"/>
      <c r="S1" s="37"/>
      <c r="V1" s="118">
        <f>SUM(V4:V33)</f>
        <v>268000</v>
      </c>
      <c r="W1" s="118">
        <f>SUM(W4:W33)</f>
        <v>3254000</v>
      </c>
    </row>
    <row r="2" spans="7:24" ht="16" thickBot="1" x14ac:dyDescent="0.25">
      <c r="R2"/>
      <c r="S2" s="37"/>
      <c r="V2" s="94">
        <f>+IF('Iniciativas 2026'!K10=0,0,V1/'Iniciativas 2026'!K10)</f>
        <v>1.7866666666666666</v>
      </c>
      <c r="W2" s="94">
        <f>+IF('Iniciativas 2026'!M10=0,0,W1/'Iniciativas 2026'!M10)</f>
        <v>6.8241873947863496</v>
      </c>
    </row>
    <row r="3" spans="7:24" ht="19" x14ac:dyDescent="0.2">
      <c r="M3" s="58" t="s">
        <v>243</v>
      </c>
      <c r="N3" s="59" t="s">
        <v>244</v>
      </c>
      <c r="O3" s="59" t="s">
        <v>21</v>
      </c>
      <c r="P3" s="60" t="s">
        <v>24</v>
      </c>
      <c r="Q3" s="61" t="s">
        <v>18</v>
      </c>
      <c r="R3" s="60" t="s">
        <v>245</v>
      </c>
      <c r="S3" s="62" t="s">
        <v>246</v>
      </c>
      <c r="T3" s="60" t="s">
        <v>247</v>
      </c>
      <c r="U3" s="63" t="s">
        <v>48</v>
      </c>
      <c r="V3" s="89" t="s">
        <v>26</v>
      </c>
      <c r="W3" s="90" t="s">
        <v>28</v>
      </c>
      <c r="X3" s="91" t="s">
        <v>248</v>
      </c>
    </row>
    <row r="4" spans="7:24" ht="15.5" customHeight="1" x14ac:dyDescent="0.2">
      <c r="M4" s="64">
        <v>1</v>
      </c>
      <c r="N4" s="23" t="s">
        <v>124</v>
      </c>
      <c r="O4" s="23" t="s">
        <v>0</v>
      </c>
      <c r="P4" s="23" t="s">
        <v>66</v>
      </c>
      <c r="Q4" s="24" t="s">
        <v>18</v>
      </c>
      <c r="R4" s="23">
        <v>39</v>
      </c>
      <c r="S4" s="102" t="s">
        <v>65</v>
      </c>
      <c r="T4" s="52" t="s">
        <v>249</v>
      </c>
      <c r="U4" s="53" t="s">
        <v>250</v>
      </c>
      <c r="V4" s="110">
        <v>20000</v>
      </c>
      <c r="W4" s="110">
        <v>2000</v>
      </c>
      <c r="X4" s="95" t="s">
        <v>26</v>
      </c>
    </row>
    <row r="5" spans="7:24" ht="15.5" customHeight="1" x14ac:dyDescent="0.2">
      <c r="M5" s="64">
        <f>+M4+1</f>
        <v>2</v>
      </c>
      <c r="N5" s="23" t="s">
        <v>76</v>
      </c>
      <c r="O5" s="23" t="s">
        <v>0</v>
      </c>
      <c r="P5" s="23" t="s">
        <v>66</v>
      </c>
      <c r="Q5" s="24" t="s">
        <v>18</v>
      </c>
      <c r="R5" s="23">
        <v>37</v>
      </c>
      <c r="S5" s="102" t="s">
        <v>78</v>
      </c>
      <c r="T5" s="52" t="s">
        <v>249</v>
      </c>
      <c r="U5" s="53" t="s">
        <v>251</v>
      </c>
      <c r="V5" s="110">
        <v>0</v>
      </c>
      <c r="W5" s="110">
        <v>7000</v>
      </c>
      <c r="X5" s="218">
        <f>SUM(V4:V13)</f>
        <v>56000</v>
      </c>
    </row>
    <row r="6" spans="7:24" ht="15.5" customHeight="1" x14ac:dyDescent="0.2">
      <c r="G6" s="2"/>
      <c r="H6" s="2"/>
      <c r="M6" s="64">
        <f t="shared" ref="M6:M33" si="0">+M5+1</f>
        <v>3</v>
      </c>
      <c r="N6" s="23" t="s">
        <v>94</v>
      </c>
      <c r="O6" s="23" t="s">
        <v>0</v>
      </c>
      <c r="P6" s="23" t="s">
        <v>66</v>
      </c>
      <c r="Q6" s="24" t="s">
        <v>18</v>
      </c>
      <c r="R6" s="23">
        <v>36</v>
      </c>
      <c r="S6" s="102" t="s">
        <v>65</v>
      </c>
      <c r="T6" s="52" t="s">
        <v>249</v>
      </c>
      <c r="U6" s="53" t="s">
        <v>250</v>
      </c>
      <c r="V6" s="110">
        <v>4000</v>
      </c>
      <c r="W6" s="110">
        <v>4000</v>
      </c>
      <c r="X6" s="218"/>
    </row>
    <row r="7" spans="7:24" ht="15.5" customHeight="1" x14ac:dyDescent="0.2">
      <c r="G7" s="2" t="e">
        <f>COUNTIF(#REF!,"&gt;0")</f>
        <v>#REF!</v>
      </c>
      <c r="H7" s="16" t="e">
        <f>+G7/G8</f>
        <v>#REF!</v>
      </c>
      <c r="M7" s="64">
        <f t="shared" si="0"/>
        <v>4</v>
      </c>
      <c r="N7" s="23" t="s">
        <v>130</v>
      </c>
      <c r="O7" s="23" t="s">
        <v>0</v>
      </c>
      <c r="P7" s="23" t="s">
        <v>66</v>
      </c>
      <c r="Q7" s="24" t="s">
        <v>18</v>
      </c>
      <c r="R7" s="23">
        <v>35</v>
      </c>
      <c r="S7" s="102" t="s">
        <v>65</v>
      </c>
      <c r="T7" s="52" t="s">
        <v>249</v>
      </c>
      <c r="U7" s="53" t="s">
        <v>251</v>
      </c>
      <c r="V7" s="110">
        <v>18000</v>
      </c>
      <c r="W7" s="110">
        <v>5000</v>
      </c>
      <c r="X7" s="93">
        <f>+X5/$V$1</f>
        <v>0.20895522388059701</v>
      </c>
    </row>
    <row r="8" spans="7:24" ht="15.5" customHeight="1" x14ac:dyDescent="0.2">
      <c r="G8" s="2">
        <f>COUNTA(#REF!)</f>
        <v>1</v>
      </c>
      <c r="H8" s="16" t="e">
        <f>+(G8-G7)/G8</f>
        <v>#REF!</v>
      </c>
      <c r="M8" s="64">
        <f t="shared" si="0"/>
        <v>5</v>
      </c>
      <c r="N8" s="23" t="s">
        <v>252</v>
      </c>
      <c r="O8" s="23" t="s">
        <v>0</v>
      </c>
      <c r="P8" s="23" t="s">
        <v>160</v>
      </c>
      <c r="Q8" s="24"/>
      <c r="R8" s="23">
        <v>34</v>
      </c>
      <c r="S8" s="102" t="s">
        <v>148</v>
      </c>
      <c r="T8" s="52" t="s">
        <v>249</v>
      </c>
      <c r="U8" s="53" t="s">
        <v>250</v>
      </c>
      <c r="V8" s="110">
        <v>0</v>
      </c>
      <c r="W8" s="110">
        <v>2150000</v>
      </c>
      <c r="X8" s="165"/>
    </row>
    <row r="9" spans="7:24" ht="15.5" customHeight="1" x14ac:dyDescent="0.2">
      <c r="G9" s="2"/>
      <c r="H9" s="2"/>
      <c r="M9" s="64">
        <f t="shared" si="0"/>
        <v>6</v>
      </c>
      <c r="N9" s="23" t="s">
        <v>178</v>
      </c>
      <c r="O9" s="23" t="s">
        <v>0</v>
      </c>
      <c r="P9" s="23" t="s">
        <v>160</v>
      </c>
      <c r="Q9" s="24"/>
      <c r="R9" s="23">
        <v>32</v>
      </c>
      <c r="S9" s="102" t="s">
        <v>70</v>
      </c>
      <c r="T9" s="52" t="s">
        <v>249</v>
      </c>
      <c r="U9" s="53"/>
      <c r="V9" s="110">
        <v>0</v>
      </c>
      <c r="W9" s="110">
        <v>0</v>
      </c>
      <c r="X9" s="95" t="s">
        <v>28</v>
      </c>
    </row>
    <row r="10" spans="7:24" ht="15.5" customHeight="1" x14ac:dyDescent="0.2">
      <c r="M10" s="64">
        <f t="shared" si="0"/>
        <v>7</v>
      </c>
      <c r="N10" s="23" t="s">
        <v>142</v>
      </c>
      <c r="O10" s="23" t="s">
        <v>0</v>
      </c>
      <c r="P10" s="23" t="s">
        <v>66</v>
      </c>
      <c r="Q10" s="24" t="s">
        <v>18</v>
      </c>
      <c r="R10" s="23">
        <v>31</v>
      </c>
      <c r="S10" s="102" t="s">
        <v>70</v>
      </c>
      <c r="T10" s="52" t="s">
        <v>249</v>
      </c>
      <c r="U10" s="53"/>
      <c r="V10" s="110">
        <v>0</v>
      </c>
      <c r="W10" s="110">
        <v>0</v>
      </c>
      <c r="X10" s="218">
        <f>SUM(W4:W13)</f>
        <v>2385000</v>
      </c>
    </row>
    <row r="11" spans="7:24" ht="15.5" customHeight="1" x14ac:dyDescent="0.2">
      <c r="M11" s="64">
        <f t="shared" si="0"/>
        <v>8</v>
      </c>
      <c r="N11" s="23" t="s">
        <v>133</v>
      </c>
      <c r="O11" s="23" t="s">
        <v>0</v>
      </c>
      <c r="P11" s="23" t="s">
        <v>66</v>
      </c>
      <c r="Q11" s="24" t="s">
        <v>18</v>
      </c>
      <c r="R11" s="23">
        <v>30</v>
      </c>
      <c r="S11" s="102" t="s">
        <v>65</v>
      </c>
      <c r="T11" s="52" t="s">
        <v>253</v>
      </c>
      <c r="U11" s="53" t="s">
        <v>251</v>
      </c>
      <c r="V11" s="110">
        <v>10000</v>
      </c>
      <c r="W11" s="110">
        <v>12000</v>
      </c>
      <c r="X11" s="218"/>
    </row>
    <row r="12" spans="7:24" ht="15.5" customHeight="1" x14ac:dyDescent="0.2">
      <c r="M12" s="64">
        <f t="shared" si="0"/>
        <v>9</v>
      </c>
      <c r="N12" s="23" t="s">
        <v>214</v>
      </c>
      <c r="O12" s="23" t="s">
        <v>0</v>
      </c>
      <c r="P12" s="23" t="s">
        <v>207</v>
      </c>
      <c r="Q12" s="24" t="s">
        <v>18</v>
      </c>
      <c r="R12" s="23">
        <v>28</v>
      </c>
      <c r="S12" s="102" t="s">
        <v>70</v>
      </c>
      <c r="T12" s="52" t="s">
        <v>253</v>
      </c>
      <c r="U12" s="53"/>
      <c r="V12" s="110">
        <v>0</v>
      </c>
      <c r="W12" s="110">
        <v>200000</v>
      </c>
      <c r="X12" s="93">
        <f>+X10/$W$1</f>
        <v>0.73294406883835284</v>
      </c>
    </row>
    <row r="13" spans="7:24" ht="15.5" customHeight="1" thickBot="1" x14ac:dyDescent="0.25">
      <c r="M13" s="65">
        <f t="shared" si="0"/>
        <v>10</v>
      </c>
      <c r="N13" s="66" t="s">
        <v>73</v>
      </c>
      <c r="O13" s="66" t="s">
        <v>0</v>
      </c>
      <c r="P13" s="66" t="s">
        <v>66</v>
      </c>
      <c r="Q13" s="67" t="s">
        <v>18</v>
      </c>
      <c r="R13" s="66">
        <v>28</v>
      </c>
      <c r="S13" s="103" t="s">
        <v>65</v>
      </c>
      <c r="T13" s="68" t="s">
        <v>249</v>
      </c>
      <c r="U13" s="69" t="s">
        <v>250</v>
      </c>
      <c r="V13" s="111">
        <v>4000</v>
      </c>
      <c r="W13" s="111">
        <v>5000</v>
      </c>
      <c r="X13" s="92"/>
    </row>
    <row r="14" spans="7:24" ht="15.5" customHeight="1" x14ac:dyDescent="0.2">
      <c r="M14" s="132">
        <f t="shared" si="0"/>
        <v>11</v>
      </c>
      <c r="N14" s="70" t="s">
        <v>238</v>
      </c>
      <c r="O14" s="70" t="s">
        <v>0</v>
      </c>
      <c r="P14" s="70" t="s">
        <v>220</v>
      </c>
      <c r="Q14" s="71" t="s">
        <v>18</v>
      </c>
      <c r="R14" s="70">
        <v>28</v>
      </c>
      <c r="S14" s="104" t="s">
        <v>65</v>
      </c>
      <c r="T14" s="72" t="s">
        <v>249</v>
      </c>
      <c r="U14" s="73" t="s">
        <v>254</v>
      </c>
      <c r="V14" s="112">
        <v>90000</v>
      </c>
      <c r="W14" s="112">
        <v>0</v>
      </c>
      <c r="X14" s="96" t="s">
        <v>26</v>
      </c>
    </row>
    <row r="15" spans="7:24" ht="15.5" customHeight="1" x14ac:dyDescent="0.2">
      <c r="M15" s="133">
        <f t="shared" si="0"/>
        <v>12</v>
      </c>
      <c r="N15" s="36" t="s">
        <v>153</v>
      </c>
      <c r="O15" s="36" t="s">
        <v>0</v>
      </c>
      <c r="P15" s="25" t="s">
        <v>149</v>
      </c>
      <c r="Q15" s="26" t="s">
        <v>18</v>
      </c>
      <c r="R15" s="25">
        <v>27</v>
      </c>
      <c r="S15" s="105" t="s">
        <v>70</v>
      </c>
      <c r="T15" s="54" t="s">
        <v>249</v>
      </c>
      <c r="U15" s="55" t="s">
        <v>251</v>
      </c>
      <c r="V15" s="113">
        <v>15000</v>
      </c>
      <c r="W15" s="113">
        <v>3000</v>
      </c>
      <c r="X15" s="217">
        <f>SUM(V14:V23)</f>
        <v>185000</v>
      </c>
    </row>
    <row r="16" spans="7:24" ht="15.5" customHeight="1" x14ac:dyDescent="0.2">
      <c r="M16" s="133">
        <f t="shared" si="0"/>
        <v>13</v>
      </c>
      <c r="N16" s="25" t="s">
        <v>91</v>
      </c>
      <c r="O16" s="25" t="s">
        <v>0</v>
      </c>
      <c r="P16" s="25" t="s">
        <v>66</v>
      </c>
      <c r="Q16" s="26"/>
      <c r="R16" s="25">
        <v>27</v>
      </c>
      <c r="S16" s="105" t="s">
        <v>78</v>
      </c>
      <c r="T16" s="54" t="s">
        <v>249</v>
      </c>
      <c r="U16" s="55" t="s">
        <v>251</v>
      </c>
      <c r="V16" s="113">
        <v>20000</v>
      </c>
      <c r="W16" s="113">
        <v>5000</v>
      </c>
      <c r="X16" s="217"/>
    </row>
    <row r="17" spans="1:24" ht="15.5" customHeight="1" x14ac:dyDescent="0.2">
      <c r="M17" s="133">
        <f t="shared" si="0"/>
        <v>14</v>
      </c>
      <c r="N17" s="25" t="s">
        <v>127</v>
      </c>
      <c r="O17" s="25" t="s">
        <v>0</v>
      </c>
      <c r="P17" s="25" t="s">
        <v>66</v>
      </c>
      <c r="Q17" s="26" t="s">
        <v>18</v>
      </c>
      <c r="R17" s="25">
        <v>27</v>
      </c>
      <c r="S17" s="105" t="s">
        <v>65</v>
      </c>
      <c r="T17" s="54" t="s">
        <v>249</v>
      </c>
      <c r="U17" s="55" t="s">
        <v>250</v>
      </c>
      <c r="V17" s="113">
        <v>20000</v>
      </c>
      <c r="W17" s="113">
        <v>2000</v>
      </c>
      <c r="X17" s="97">
        <f>+X15/$V$1</f>
        <v>0.69029850746268662</v>
      </c>
    </row>
    <row r="18" spans="1:24" ht="15.5" customHeight="1" x14ac:dyDescent="0.2">
      <c r="M18" s="133">
        <f t="shared" si="0"/>
        <v>15</v>
      </c>
      <c r="N18" s="25" t="s">
        <v>109</v>
      </c>
      <c r="O18" s="25" t="s">
        <v>0</v>
      </c>
      <c r="P18" s="25" t="s">
        <v>66</v>
      </c>
      <c r="Q18" s="26"/>
      <c r="R18" s="25">
        <v>26</v>
      </c>
      <c r="S18" s="105" t="s">
        <v>65</v>
      </c>
      <c r="T18" s="54" t="s">
        <v>249</v>
      </c>
      <c r="U18" s="55" t="s">
        <v>251</v>
      </c>
      <c r="V18" s="113">
        <v>8000</v>
      </c>
      <c r="W18" s="113">
        <v>4000</v>
      </c>
      <c r="X18" s="166"/>
    </row>
    <row r="19" spans="1:24" ht="15.5" customHeight="1" x14ac:dyDescent="0.2">
      <c r="M19" s="133">
        <f t="shared" si="0"/>
        <v>16</v>
      </c>
      <c r="N19" s="25" t="s">
        <v>115</v>
      </c>
      <c r="O19" s="25" t="s">
        <v>0</v>
      </c>
      <c r="P19" s="25" t="s">
        <v>66</v>
      </c>
      <c r="Q19" s="26"/>
      <c r="R19" s="25">
        <v>26</v>
      </c>
      <c r="S19" s="105" t="s">
        <v>65</v>
      </c>
      <c r="T19" s="54" t="s">
        <v>253</v>
      </c>
      <c r="U19" s="55" t="s">
        <v>251</v>
      </c>
      <c r="V19" s="113">
        <v>5000</v>
      </c>
      <c r="W19" s="113">
        <v>100000</v>
      </c>
      <c r="X19" s="96" t="s">
        <v>28</v>
      </c>
    </row>
    <row r="20" spans="1:24" ht="15.5" customHeight="1" x14ac:dyDescent="0.2">
      <c r="M20" s="133">
        <f t="shared" si="0"/>
        <v>17</v>
      </c>
      <c r="N20" s="25" t="s">
        <v>97</v>
      </c>
      <c r="O20" s="25" t="s">
        <v>0</v>
      </c>
      <c r="P20" s="25" t="s">
        <v>66</v>
      </c>
      <c r="Q20" s="26"/>
      <c r="R20" s="25">
        <v>26</v>
      </c>
      <c r="S20" s="105" t="s">
        <v>65</v>
      </c>
      <c r="T20" s="54" t="s">
        <v>253</v>
      </c>
      <c r="U20" s="55" t="s">
        <v>250</v>
      </c>
      <c r="V20" s="113">
        <v>5000</v>
      </c>
      <c r="W20" s="113">
        <v>6000</v>
      </c>
      <c r="X20" s="217">
        <f>SUM(W14:W23)</f>
        <v>191000</v>
      </c>
    </row>
    <row r="21" spans="1:24" ht="15.5" customHeight="1" x14ac:dyDescent="0.2">
      <c r="M21" s="133">
        <f t="shared" si="0"/>
        <v>18</v>
      </c>
      <c r="N21" s="25" t="s">
        <v>206</v>
      </c>
      <c r="O21" s="25" t="s">
        <v>0</v>
      </c>
      <c r="P21" s="25" t="s">
        <v>207</v>
      </c>
      <c r="Q21" s="26" t="s">
        <v>18</v>
      </c>
      <c r="R21" s="25">
        <v>25</v>
      </c>
      <c r="S21" s="105" t="s">
        <v>78</v>
      </c>
      <c r="T21" s="54" t="s">
        <v>253</v>
      </c>
      <c r="U21" s="55"/>
      <c r="V21" s="113">
        <v>0</v>
      </c>
      <c r="W21" s="113">
        <v>20000</v>
      </c>
      <c r="X21" s="217"/>
    </row>
    <row r="22" spans="1:24" ht="15.5" customHeight="1" x14ac:dyDescent="0.2">
      <c r="M22" s="133">
        <f t="shared" si="0"/>
        <v>19</v>
      </c>
      <c r="N22" s="25" t="s">
        <v>219</v>
      </c>
      <c r="O22" s="25" t="s">
        <v>0</v>
      </c>
      <c r="P22" s="25" t="s">
        <v>220</v>
      </c>
      <c r="Q22" s="26"/>
      <c r="R22" s="25">
        <v>25</v>
      </c>
      <c r="S22" s="105" t="s">
        <v>148</v>
      </c>
      <c r="T22" s="54" t="s">
        <v>249</v>
      </c>
      <c r="U22" s="55" t="s">
        <v>255</v>
      </c>
      <c r="V22" s="113">
        <v>12000</v>
      </c>
      <c r="W22" s="113">
        <v>48000</v>
      </c>
      <c r="X22" s="97">
        <f>+X20/$W$1</f>
        <v>5.8696988322065151E-2</v>
      </c>
    </row>
    <row r="23" spans="1:24" ht="15.5" customHeight="1" thickBot="1" x14ac:dyDescent="0.25">
      <c r="M23" s="134">
        <f t="shared" si="0"/>
        <v>20</v>
      </c>
      <c r="N23" s="74" t="s">
        <v>139</v>
      </c>
      <c r="O23" s="74" t="s">
        <v>0</v>
      </c>
      <c r="P23" s="74" t="s">
        <v>66</v>
      </c>
      <c r="Q23" s="75"/>
      <c r="R23" s="74">
        <v>24</v>
      </c>
      <c r="S23" s="106" t="s">
        <v>65</v>
      </c>
      <c r="T23" s="76" t="s">
        <v>249</v>
      </c>
      <c r="U23" s="77" t="s">
        <v>251</v>
      </c>
      <c r="V23" s="114">
        <v>10000</v>
      </c>
      <c r="W23" s="114">
        <v>3000</v>
      </c>
      <c r="X23" s="98"/>
    </row>
    <row r="24" spans="1:24" ht="15.5" customHeight="1" x14ac:dyDescent="0.2">
      <c r="M24" s="78">
        <f t="shared" si="0"/>
        <v>21</v>
      </c>
      <c r="N24" s="79" t="s">
        <v>226</v>
      </c>
      <c r="O24" s="79" t="s">
        <v>0</v>
      </c>
      <c r="P24" s="79" t="s">
        <v>220</v>
      </c>
      <c r="Q24" s="80" t="s">
        <v>18</v>
      </c>
      <c r="R24" s="79">
        <v>24</v>
      </c>
      <c r="S24" s="107" t="s">
        <v>78</v>
      </c>
      <c r="T24" s="81" t="s">
        <v>249</v>
      </c>
      <c r="U24" s="82" t="s">
        <v>251</v>
      </c>
      <c r="V24" s="115">
        <v>0</v>
      </c>
      <c r="W24" s="115">
        <v>0</v>
      </c>
      <c r="X24" s="99" t="s">
        <v>26</v>
      </c>
    </row>
    <row r="25" spans="1:24" ht="12.5" customHeight="1" x14ac:dyDescent="0.2">
      <c r="M25" s="83">
        <f t="shared" si="0"/>
        <v>22</v>
      </c>
      <c r="N25" s="50" t="s">
        <v>147</v>
      </c>
      <c r="O25" s="50" t="s">
        <v>0</v>
      </c>
      <c r="P25" s="50" t="s">
        <v>149</v>
      </c>
      <c r="Q25" s="51"/>
      <c r="R25" s="50">
        <v>24</v>
      </c>
      <c r="S25" s="108" t="s">
        <v>148</v>
      </c>
      <c r="T25" s="56" t="s">
        <v>253</v>
      </c>
      <c r="U25" s="57" t="s">
        <v>251</v>
      </c>
      <c r="V25" s="116">
        <v>15000</v>
      </c>
      <c r="W25" s="116">
        <v>3000</v>
      </c>
      <c r="X25" s="219">
        <f>SUM(V24:V33)</f>
        <v>27000</v>
      </c>
    </row>
    <row r="26" spans="1:24" ht="15.5" customHeight="1" x14ac:dyDescent="0.2">
      <c r="M26" s="83">
        <f t="shared" si="0"/>
        <v>23</v>
      </c>
      <c r="N26" s="50" t="s">
        <v>100</v>
      </c>
      <c r="O26" s="50" t="s">
        <v>0</v>
      </c>
      <c r="P26" s="50" t="s">
        <v>66</v>
      </c>
      <c r="Q26" s="51" t="s">
        <v>18</v>
      </c>
      <c r="R26" s="50">
        <v>23</v>
      </c>
      <c r="S26" s="108" t="s">
        <v>78</v>
      </c>
      <c r="T26" s="56" t="s">
        <v>249</v>
      </c>
      <c r="U26" s="57" t="s">
        <v>251</v>
      </c>
      <c r="V26" s="116">
        <v>7000</v>
      </c>
      <c r="W26" s="116">
        <v>5000</v>
      </c>
      <c r="X26" s="219"/>
    </row>
    <row r="27" spans="1:24" ht="15.5" customHeight="1" x14ac:dyDescent="0.2">
      <c r="M27" s="83">
        <f t="shared" si="0"/>
        <v>24</v>
      </c>
      <c r="N27" s="50" t="s">
        <v>185</v>
      </c>
      <c r="O27" s="50" t="s">
        <v>0</v>
      </c>
      <c r="P27" s="50" t="s">
        <v>181</v>
      </c>
      <c r="Q27" s="51" t="s">
        <v>18</v>
      </c>
      <c r="R27" s="50">
        <v>23</v>
      </c>
      <c r="S27" s="108" t="s">
        <v>148</v>
      </c>
      <c r="T27" s="56" t="s">
        <v>249</v>
      </c>
      <c r="U27" s="57"/>
      <c r="V27" s="116">
        <v>0</v>
      </c>
      <c r="W27" s="116">
        <v>27000</v>
      </c>
      <c r="X27" s="100">
        <f>+X25/$V$1</f>
        <v>0.10074626865671642</v>
      </c>
    </row>
    <row r="28" spans="1:24" ht="15.5" customHeight="1" x14ac:dyDescent="0.2">
      <c r="M28" s="83">
        <f t="shared" si="0"/>
        <v>25</v>
      </c>
      <c r="N28" s="50" t="s">
        <v>256</v>
      </c>
      <c r="O28" s="50" t="s">
        <v>0</v>
      </c>
      <c r="P28" s="50" t="s">
        <v>220</v>
      </c>
      <c r="Q28" s="51" t="s">
        <v>18</v>
      </c>
      <c r="R28" s="50">
        <v>23</v>
      </c>
      <c r="S28" s="108" t="s">
        <v>78</v>
      </c>
      <c r="T28" s="56" t="s">
        <v>253</v>
      </c>
      <c r="U28" s="57"/>
      <c r="V28" s="116">
        <v>0</v>
      </c>
      <c r="W28" s="116">
        <v>0</v>
      </c>
      <c r="X28" s="167"/>
    </row>
    <row r="29" spans="1:24" ht="15.5" customHeight="1" x14ac:dyDescent="0.2">
      <c r="M29" s="83">
        <f t="shared" si="0"/>
        <v>26</v>
      </c>
      <c r="N29" s="50" t="s">
        <v>210</v>
      </c>
      <c r="O29" s="50" t="s">
        <v>2</v>
      </c>
      <c r="P29" s="50" t="s">
        <v>207</v>
      </c>
      <c r="Q29" s="51" t="s">
        <v>18</v>
      </c>
      <c r="R29" s="50">
        <v>22</v>
      </c>
      <c r="S29" s="108" t="s">
        <v>70</v>
      </c>
      <c r="T29" s="56" t="s">
        <v>257</v>
      </c>
      <c r="U29" s="57"/>
      <c r="V29" s="116">
        <v>0</v>
      </c>
      <c r="W29" s="116">
        <v>0</v>
      </c>
      <c r="X29" s="99" t="s">
        <v>28</v>
      </c>
    </row>
    <row r="30" spans="1:24" ht="15.5" customHeight="1" x14ac:dyDescent="0.2">
      <c r="M30" s="83">
        <f t="shared" si="0"/>
        <v>27</v>
      </c>
      <c r="N30" s="50" t="s">
        <v>212</v>
      </c>
      <c r="O30" s="50" t="s">
        <v>0</v>
      </c>
      <c r="P30" s="50" t="s">
        <v>207</v>
      </c>
      <c r="Q30" s="51" t="s">
        <v>18</v>
      </c>
      <c r="R30" s="50">
        <v>21</v>
      </c>
      <c r="S30" s="108" t="s">
        <v>148</v>
      </c>
      <c r="T30" s="56" t="s">
        <v>253</v>
      </c>
      <c r="U30" s="57"/>
      <c r="V30" s="116">
        <v>0</v>
      </c>
      <c r="W30" s="116">
        <v>400000</v>
      </c>
      <c r="X30" s="219">
        <f>SUM(W24:W33)</f>
        <v>678000</v>
      </c>
    </row>
    <row r="31" spans="1:24" ht="12.5" customHeight="1" x14ac:dyDescent="0.2">
      <c r="A31" s="2"/>
      <c r="M31" s="83">
        <f t="shared" si="0"/>
        <v>28</v>
      </c>
      <c r="N31" s="50" t="s">
        <v>232</v>
      </c>
      <c r="O31" s="50" t="s">
        <v>0</v>
      </c>
      <c r="P31" s="50" t="s">
        <v>220</v>
      </c>
      <c r="Q31" s="51"/>
      <c r="R31" s="50">
        <v>21</v>
      </c>
      <c r="S31" s="108" t="s">
        <v>148</v>
      </c>
      <c r="T31" s="56" t="s">
        <v>253</v>
      </c>
      <c r="U31" s="57" t="s">
        <v>255</v>
      </c>
      <c r="V31" s="116">
        <v>0</v>
      </c>
      <c r="W31" s="116">
        <v>240000</v>
      </c>
      <c r="X31" s="219"/>
    </row>
    <row r="32" spans="1:24" ht="15.5" customHeight="1" x14ac:dyDescent="0.2">
      <c r="M32" s="83">
        <f t="shared" si="0"/>
        <v>29</v>
      </c>
      <c r="N32" s="50" t="s">
        <v>156</v>
      </c>
      <c r="O32" s="50" t="s">
        <v>0</v>
      </c>
      <c r="P32" s="50" t="s">
        <v>149</v>
      </c>
      <c r="Q32" s="51"/>
      <c r="R32" s="50">
        <v>21</v>
      </c>
      <c r="S32" s="108" t="s">
        <v>148</v>
      </c>
      <c r="T32" s="56" t="s">
        <v>253</v>
      </c>
      <c r="U32" s="57" t="s">
        <v>254</v>
      </c>
      <c r="V32" s="116">
        <v>0</v>
      </c>
      <c r="W32" s="116">
        <v>0</v>
      </c>
      <c r="X32" s="100">
        <f>+X30/$W$1</f>
        <v>0.20835894283958206</v>
      </c>
    </row>
    <row r="33" spans="13:24" ht="15.5" customHeight="1" thickBot="1" x14ac:dyDescent="0.25">
      <c r="M33" s="84">
        <f t="shared" si="0"/>
        <v>30</v>
      </c>
      <c r="N33" s="85" t="s">
        <v>106</v>
      </c>
      <c r="O33" s="85" t="s">
        <v>2</v>
      </c>
      <c r="P33" s="85" t="s">
        <v>66</v>
      </c>
      <c r="Q33" s="86"/>
      <c r="R33" s="85">
        <v>21</v>
      </c>
      <c r="S33" s="109" t="s">
        <v>65</v>
      </c>
      <c r="T33" s="87" t="s">
        <v>257</v>
      </c>
      <c r="U33" s="88" t="s">
        <v>251</v>
      </c>
      <c r="V33" s="117">
        <v>5000</v>
      </c>
      <c r="W33" s="117">
        <v>3000</v>
      </c>
      <c r="X33" s="101"/>
    </row>
    <row r="34" spans="13:24" x14ac:dyDescent="0.2">
      <c r="R34"/>
      <c r="S34" s="37"/>
    </row>
    <row r="35" spans="13:24" x14ac:dyDescent="0.2">
      <c r="R35"/>
      <c r="S35" s="37"/>
    </row>
    <row r="36" spans="13:24" x14ac:dyDescent="0.2">
      <c r="R36"/>
      <c r="S36" s="37"/>
    </row>
  </sheetData>
  <sheetProtection selectLockedCells="1" selectUnlockedCells="1"/>
  <autoFilter ref="N3:T33" xr:uid="{315A8639-13A5-429E-A58E-73CDB8D53D86}"/>
  <mergeCells count="6">
    <mergeCell ref="X15:X16"/>
    <mergeCell ref="X5:X6"/>
    <mergeCell ref="X10:X11"/>
    <mergeCell ref="X20:X21"/>
    <mergeCell ref="X30:X31"/>
    <mergeCell ref="X25:X26"/>
  </mergeCells>
  <phoneticPr fontId="4" type="noConversion"/>
  <conditionalFormatting sqref="U4:U33">
    <cfRule type="cellIs" dxfId="4" priority="11" operator="equal">
      <formula>"O"</formula>
    </cfRule>
    <cfRule type="cellIs" dxfId="3" priority="13" operator="equal">
      <formula>"M"</formula>
    </cfRule>
    <cfRule type="cellIs" dxfId="2" priority="14" operator="equal">
      <formula>"J"</formula>
    </cfRule>
    <cfRule type="cellIs" dxfId="1" priority="15" operator="equal">
      <formula>"L"</formula>
    </cfRule>
    <cfRule type="cellIs" dxfId="0" priority="16" operator="equal">
      <formula>"I"</formula>
    </cfRule>
  </conditionalFormatting>
  <conditionalFormatting sqref="T4:T33">
    <cfRule type="iconSet" priority="2673">
      <iconSet iconSet="3Symbols" showValue="0">
        <cfvo type="percent" val="0"/>
        <cfvo type="num" val="1"/>
        <cfvo type="num" val="2"/>
      </iconSet>
    </cfRule>
  </conditionalFormatting>
  <conditionalFormatting sqref="S4:S33">
    <cfRule type="iconSet" priority="2675">
      <iconSet iconSet="3Symbols" showValue="0">
        <cfvo type="percent" val="0"/>
        <cfvo type="num" val="1"/>
        <cfvo type="num" val="2"/>
      </iconSet>
    </cfRule>
  </conditionalFormatting>
  <pageMargins left="0.511811024" right="0.511811024" top="0.78740157499999996" bottom="0.78740157499999996" header="0.31496062000000002" footer="0.31496062000000002"/>
  <headerFooter>
    <oddFooter>&amp;L_x000D_&amp;1#&amp;"Calibri"&amp;10&amp;K000000 Classificação: Público</oddFooter>
  </headerFooter>
  <ignoredErrors>
    <ignoredError sqref="X5 X15 X30 X25 X20 X10" formulaRange="1"/>
  </ignoredError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EF76C3-EE03-4D23-8D16-193CBF670CBF}">
  <sheetPr codeName="Planilha1"/>
  <dimension ref="D1:P14"/>
  <sheetViews>
    <sheetView showGridLines="0" showRowColHeaders="0" zoomScale="180" zoomScaleNormal="180" workbookViewId="0">
      <selection activeCell="G3" sqref="G3"/>
    </sheetView>
  </sheetViews>
  <sheetFormatPr baseColWidth="10" defaultColWidth="8.83203125" defaultRowHeight="15" x14ac:dyDescent="0.2"/>
  <cols>
    <col min="14" max="15" width="10.5" bestFit="1" customWidth="1"/>
    <col min="16" max="16" width="5.33203125" bestFit="1" customWidth="1"/>
  </cols>
  <sheetData>
    <row r="1" spans="4:16" x14ac:dyDescent="0.2">
      <c r="N1" s="28"/>
      <c r="O1" s="28"/>
      <c r="P1" s="29"/>
    </row>
    <row r="14" spans="4:16" x14ac:dyDescent="0.2">
      <c r="D14" s="30" t="s">
        <v>258</v>
      </c>
    </row>
  </sheetData>
  <pageMargins left="0.511811024" right="0.511811024" top="0.78740157499999996" bottom="0.78740157499999996" header="0.31496062000000002" footer="0.31496062000000002"/>
  <headerFooter>
    <oddFooter>&amp;L_x000D_&amp;1#&amp;"Calibri"&amp;10&amp;K000000 Classificação: Público</oddFoot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1BD537-264B-46E5-97A9-51A3CB4F66BE}">
  <sheetPr codeName="Planilha4"/>
  <dimension ref="A1:L29"/>
  <sheetViews>
    <sheetView topLeftCell="A4" workbookViewId="0">
      <selection activeCell="D24" sqref="D24"/>
    </sheetView>
  </sheetViews>
  <sheetFormatPr baseColWidth="10" defaultColWidth="8.6640625" defaultRowHeight="15" x14ac:dyDescent="0.2"/>
  <cols>
    <col min="1" max="1" width="15.33203125" bestFit="1" customWidth="1"/>
    <col min="3" max="3" width="7.33203125" bestFit="1" customWidth="1"/>
    <col min="6" max="6" width="8.6640625" customWidth="1"/>
    <col min="7" max="8" width="10.6640625" bestFit="1" customWidth="1"/>
    <col min="9" max="9" width="4" customWidth="1"/>
    <col min="10" max="10" width="2" bestFit="1" customWidth="1"/>
    <col min="11" max="11" width="12.33203125" style="6" customWidth="1"/>
    <col min="12" max="12" width="10.6640625" bestFit="1" customWidth="1"/>
    <col min="13" max="13" width="13.6640625" customWidth="1"/>
    <col min="14" max="14" width="9.5" bestFit="1" customWidth="1"/>
    <col min="18" max="18" width="2" bestFit="1" customWidth="1"/>
    <col min="19" max="20" width="10.6640625" bestFit="1" customWidth="1"/>
    <col min="21" max="21" width="1.6640625" customWidth="1"/>
    <col min="22" max="22" width="2" bestFit="1" customWidth="1"/>
    <col min="23" max="24" width="10.6640625" bestFit="1" customWidth="1"/>
  </cols>
  <sheetData>
    <row r="1" spans="1:12" x14ac:dyDescent="0.2">
      <c r="A1" s="224" t="s">
        <v>259</v>
      </c>
      <c r="B1" s="224"/>
      <c r="C1" s="224"/>
      <c r="D1" s="224"/>
      <c r="E1" s="224"/>
      <c r="F1" s="223" t="s">
        <v>260</v>
      </c>
      <c r="G1" s="223"/>
      <c r="H1" s="223"/>
      <c r="J1" s="223" t="s">
        <v>261</v>
      </c>
      <c r="K1" s="223"/>
      <c r="L1" s="223"/>
    </row>
    <row r="2" spans="1:12" x14ac:dyDescent="0.2">
      <c r="A2" s="6" t="s">
        <v>262</v>
      </c>
      <c r="B2" t="s">
        <v>49</v>
      </c>
      <c r="D2">
        <f>COUNTIF(TB_Cockpit_2026[Encantar os Clientes],"&gt;0")</f>
        <v>56</v>
      </c>
      <c r="E2" s="4">
        <f>+IF($B$29=0,0,D2/$B$29)</f>
        <v>0.83582089552238803</v>
      </c>
      <c r="F2">
        <v>1</v>
      </c>
      <c r="G2" s="44">
        <v>0</v>
      </c>
      <c r="H2" s="44">
        <v>10000</v>
      </c>
      <c r="J2">
        <v>1</v>
      </c>
      <c r="K2" s="44">
        <v>0</v>
      </c>
      <c r="L2" s="44">
        <v>5000</v>
      </c>
    </row>
    <row r="3" spans="1:12" x14ac:dyDescent="0.2">
      <c r="A3" s="6" t="s">
        <v>263</v>
      </c>
      <c r="B3" t="s">
        <v>264</v>
      </c>
      <c r="D3">
        <f>COUNTIF(TB_Cockpit_2026[Alta Rentabilidade],"&gt;0")</f>
        <v>54</v>
      </c>
      <c r="E3" s="4">
        <f t="shared" ref="E3:E4" si="0">+IF($B$29=0,0,D3/$B$29)</f>
        <v>0.80597014925373134</v>
      </c>
      <c r="F3">
        <v>2</v>
      </c>
      <c r="G3" s="44">
        <v>10001</v>
      </c>
      <c r="H3" s="44">
        <v>50000</v>
      </c>
      <c r="J3">
        <v>2</v>
      </c>
      <c r="K3" s="44">
        <f>+L2+1</f>
        <v>5001</v>
      </c>
      <c r="L3" s="44">
        <v>25000</v>
      </c>
    </row>
    <row r="4" spans="1:12" x14ac:dyDescent="0.2">
      <c r="A4" s="6" t="s">
        <v>265</v>
      </c>
      <c r="B4" t="s">
        <v>51</v>
      </c>
      <c r="D4">
        <f>COUNTIF(TB_Cockpit_2026[Capital com Foco],"&gt;0")</f>
        <v>54</v>
      </c>
      <c r="E4" s="4">
        <f t="shared" si="0"/>
        <v>0.80597014925373134</v>
      </c>
      <c r="F4">
        <v>3</v>
      </c>
      <c r="G4" s="44">
        <v>50001</v>
      </c>
      <c r="H4" s="44">
        <v>150000</v>
      </c>
      <c r="J4">
        <v>3</v>
      </c>
      <c r="K4" s="44">
        <f>+L3+1</f>
        <v>25001</v>
      </c>
      <c r="L4" s="44">
        <v>100000</v>
      </c>
    </row>
    <row r="5" spans="1:12" x14ac:dyDescent="0.2">
      <c r="A5" s="6"/>
      <c r="D5" s="4"/>
      <c r="F5">
        <v>4</v>
      </c>
      <c r="G5" s="44">
        <v>151000</v>
      </c>
      <c r="H5" s="44">
        <v>300000</v>
      </c>
      <c r="J5">
        <v>4</v>
      </c>
      <c r="K5" s="44">
        <f>+L4+1</f>
        <v>100001</v>
      </c>
      <c r="L5" s="44">
        <v>200000</v>
      </c>
    </row>
    <row r="6" spans="1:12" x14ac:dyDescent="0.2">
      <c r="A6" s="6"/>
      <c r="D6" s="4"/>
      <c r="K6"/>
    </row>
    <row r="7" spans="1:12" x14ac:dyDescent="0.2">
      <c r="A7" s="6"/>
      <c r="D7" s="4"/>
      <c r="K7"/>
    </row>
    <row r="8" spans="1:12" x14ac:dyDescent="0.2">
      <c r="D8" s="4"/>
      <c r="K8"/>
    </row>
    <row r="9" spans="1:12" x14ac:dyDescent="0.2">
      <c r="A9" s="6" t="s">
        <v>249</v>
      </c>
      <c r="B9">
        <f>COUNTIF(TB_Cockpit_2026[QM],A9)</f>
        <v>18</v>
      </c>
      <c r="C9" s="7">
        <f>+B9/$B$13</f>
        <v>0.26865671641791045</v>
      </c>
      <c r="K9"/>
    </row>
    <row r="10" spans="1:12" x14ac:dyDescent="0.2">
      <c r="A10" s="6" t="s">
        <v>257</v>
      </c>
      <c r="B10">
        <f>COUNTIF(TB_Cockpit_2026[QM],A10)</f>
        <v>9</v>
      </c>
      <c r="C10" s="7">
        <f t="shared" ref="C10:C12" si="1">+B10/$B$13</f>
        <v>0.13432835820895522</v>
      </c>
      <c r="K10"/>
    </row>
    <row r="11" spans="1:12" x14ac:dyDescent="0.2">
      <c r="A11" s="6" t="s">
        <v>253</v>
      </c>
      <c r="B11">
        <f>COUNTIF(TB_Cockpit_2026[QM],A11)</f>
        <v>12</v>
      </c>
      <c r="C11" s="7">
        <f t="shared" si="1"/>
        <v>0.17910447761194029</v>
      </c>
      <c r="K11"/>
    </row>
    <row r="12" spans="1:12" x14ac:dyDescent="0.2">
      <c r="A12" s="6" t="s">
        <v>266</v>
      </c>
      <c r="B12">
        <f>COUNTIF(TB_Cockpit_2026[QM],A12)</f>
        <v>28</v>
      </c>
      <c r="C12" s="7">
        <f t="shared" si="1"/>
        <v>0.41791044776119401</v>
      </c>
      <c r="K12"/>
    </row>
    <row r="13" spans="1:12" x14ac:dyDescent="0.2">
      <c r="A13" s="6"/>
      <c r="B13">
        <f>SUM(B9:B12)</f>
        <v>67</v>
      </c>
      <c r="K13"/>
    </row>
    <row r="14" spans="1:12" x14ac:dyDescent="0.2">
      <c r="K14"/>
    </row>
    <row r="15" spans="1:12" x14ac:dyDescent="0.2">
      <c r="A15" s="6" t="s">
        <v>148</v>
      </c>
      <c r="B15">
        <f>COUNTIF(TB_Cockpit_2026[[#All],[Onde Estamos]],A15)</f>
        <v>18</v>
      </c>
      <c r="C15" s="4">
        <f>+IF($B$29=0,0,B15/$B$29)</f>
        <v>0.26865671641791045</v>
      </c>
      <c r="K15"/>
    </row>
    <row r="16" spans="1:12" x14ac:dyDescent="0.2">
      <c r="A16" s="6" t="s">
        <v>70</v>
      </c>
      <c r="B16">
        <f>COUNTIF(TB_Cockpit_2026[[#All],[Onde Estamos]],A16)</f>
        <v>17</v>
      </c>
      <c r="C16" s="4">
        <f>+IF($B$29=0,0,B16/$B$29)</f>
        <v>0.2537313432835821</v>
      </c>
    </row>
    <row r="17" spans="1:7" x14ac:dyDescent="0.2">
      <c r="A17" s="6" t="s">
        <v>78</v>
      </c>
      <c r="B17">
        <f>COUNTIF(TB_Cockpit_2026[[#All],[Onde Estamos]],A17)</f>
        <v>13</v>
      </c>
      <c r="C17" s="4">
        <f>+IF($B$29=0,0,B17/$B$29)</f>
        <v>0.19402985074626866</v>
      </c>
    </row>
    <row r="18" spans="1:7" x14ac:dyDescent="0.2">
      <c r="A18" s="6" t="s">
        <v>65</v>
      </c>
      <c r="B18">
        <f>COUNTIF(TB_Cockpit_2026[[#All],[Onde Estamos]],A18)</f>
        <v>19</v>
      </c>
      <c r="C18" s="4">
        <f>+IF($B$29=0,0,B18/$B$29)</f>
        <v>0.28358208955223879</v>
      </c>
    </row>
    <row r="21" spans="1:7" x14ac:dyDescent="0.2">
      <c r="A21" s="220" t="s">
        <v>24</v>
      </c>
      <c r="B21" s="221"/>
      <c r="C21" s="222"/>
      <c r="E21" s="119" t="s">
        <v>267</v>
      </c>
      <c r="F21" s="119"/>
      <c r="G21" s="119"/>
    </row>
    <row r="22" spans="1:7" x14ac:dyDescent="0.2">
      <c r="A22" s="47" t="s">
        <v>220</v>
      </c>
      <c r="B22">
        <f>COUNTIF(TB_Cockpit_2026[[#All],[Área]],A22)</f>
        <v>11</v>
      </c>
      <c r="C22" s="31">
        <f t="shared" ref="C22:C28" si="2">+IF(B22=0,0,B22/$B$29)</f>
        <v>0.16417910447761194</v>
      </c>
      <c r="E22" t="s">
        <v>64</v>
      </c>
      <c r="F22">
        <f>COUNTIF(TB_Cockpit_2026[[#Headers],[#Data],[Classific.]],E22)</f>
        <v>31</v>
      </c>
      <c r="G22" s="4">
        <f>+F22/$B$29</f>
        <v>0.46268656716417911</v>
      </c>
    </row>
    <row r="23" spans="1:7" x14ac:dyDescent="0.2">
      <c r="A23" s="47" t="s">
        <v>207</v>
      </c>
      <c r="B23">
        <f>COUNTIF(TB_Cockpit_2026[[#All],[Área]],A23)</f>
        <v>5</v>
      </c>
      <c r="C23" s="31">
        <f t="shared" si="2"/>
        <v>7.4626865671641784E-2</v>
      </c>
      <c r="E23" t="s">
        <v>77</v>
      </c>
      <c r="F23">
        <f>COUNTIF(TB_Cockpit_2026[[#Headers],[#Data],[Classific.]],E23)</f>
        <v>36</v>
      </c>
      <c r="G23" s="4">
        <f>+F23/$B$29</f>
        <v>0.53731343283582089</v>
      </c>
    </row>
    <row r="24" spans="1:7" x14ac:dyDescent="0.2">
      <c r="A24" s="47" t="s">
        <v>192</v>
      </c>
      <c r="B24">
        <f>COUNTIF(TB_Cockpit_2026[[#All],[Área]],A24)</f>
        <v>6</v>
      </c>
      <c r="C24" s="31">
        <f t="shared" si="2"/>
        <v>8.9552238805970144E-2</v>
      </c>
    </row>
    <row r="25" spans="1:7" x14ac:dyDescent="0.2">
      <c r="A25" s="47" t="s">
        <v>181</v>
      </c>
      <c r="B25">
        <f>COUNTIF(TB_Cockpit_2026[[#All],[Área]],A25)</f>
        <v>6</v>
      </c>
      <c r="C25" s="31">
        <f t="shared" si="2"/>
        <v>8.9552238805970144E-2</v>
      </c>
    </row>
    <row r="26" spans="1:7" x14ac:dyDescent="0.2">
      <c r="A26" s="47" t="s">
        <v>160</v>
      </c>
      <c r="B26">
        <f>COUNTIF(TB_Cockpit_2026[[#All],[Área]],A26)</f>
        <v>9</v>
      </c>
      <c r="C26" s="31">
        <f t="shared" si="2"/>
        <v>0.13432835820895522</v>
      </c>
    </row>
    <row r="27" spans="1:7" x14ac:dyDescent="0.2">
      <c r="A27" s="47" t="s">
        <v>149</v>
      </c>
      <c r="B27">
        <f>COUNTIF(TB_Cockpit_2026[[#All],[Área]],A27)</f>
        <v>3</v>
      </c>
      <c r="C27" s="31">
        <f t="shared" si="2"/>
        <v>4.4776119402985072E-2</v>
      </c>
    </row>
    <row r="28" spans="1:7" x14ac:dyDescent="0.2">
      <c r="A28" s="48" t="s">
        <v>66</v>
      </c>
      <c r="B28" s="49">
        <f>COUNTIF(TB_Cockpit_2026[[#All],[Área]],A28)</f>
        <v>27</v>
      </c>
      <c r="C28" s="45">
        <f t="shared" si="2"/>
        <v>0.40298507462686567</v>
      </c>
    </row>
    <row r="29" spans="1:7" x14ac:dyDescent="0.2">
      <c r="B29" s="46">
        <f>SUM(B22:B28)</f>
        <v>67</v>
      </c>
    </row>
  </sheetData>
  <sortState xmlns:xlrd2="http://schemas.microsoft.com/office/spreadsheetml/2017/richdata2" ref="A22:A28">
    <sortCondition ref="A22:A28"/>
  </sortState>
  <mergeCells count="4">
    <mergeCell ref="A21:C21"/>
    <mergeCell ref="F1:H1"/>
    <mergeCell ref="J1:L1"/>
    <mergeCell ref="A1:E1"/>
  </mergeCells>
  <phoneticPr fontId="4" type="noConversion"/>
  <pageMargins left="0.511811024" right="0.511811024" top="0.78740157499999996" bottom="0.78740157499999996" header="0.31496062000000002" footer="0.31496062000000002"/>
  <headerFooter>
    <oddFooter>&amp;L_x000D_&amp;1#&amp;"Calibri"&amp;10&amp;K000000 Classificação: Público</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9246ef36-c2d4-4d13-b65d-5eab57a69625" xsi:nil="true"/>
    <lcf76f155ced4ddcb4097134ff3c332f xmlns="6065fdbb-ad9f-4211-ad38-6ee6bc6d08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o" ma:contentTypeID="0x010100A3D1A019F8905345A3E468E3229AE2E4" ma:contentTypeVersion="12" ma:contentTypeDescription="Crie um novo documento." ma:contentTypeScope="" ma:versionID="64f0ace6d6c06f230f556ac77285cad9">
  <xsd:schema xmlns:xsd="http://www.w3.org/2001/XMLSchema" xmlns:xs="http://www.w3.org/2001/XMLSchema" xmlns:p="http://schemas.microsoft.com/office/2006/metadata/properties" xmlns:ns2="6065fdbb-ad9f-4211-ad38-6ee6bc6d0898" xmlns:ns3="9246ef36-c2d4-4d13-b65d-5eab57a69625" targetNamespace="http://schemas.microsoft.com/office/2006/metadata/properties" ma:root="true" ma:fieldsID="ea6083d75e32fd23a4a17c2b8fc94e8e" ns2:_="" ns3:_="">
    <xsd:import namespace="6065fdbb-ad9f-4211-ad38-6ee6bc6d0898"/>
    <xsd:import namespace="9246ef36-c2d4-4d13-b65d-5eab57a69625"/>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065fdbb-ad9f-4211-ad38-6ee6bc6d089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Marcações de imagem" ma:readOnly="false" ma:fieldId="{5cf76f15-5ced-4ddc-b409-7134ff3c332f}" ma:taxonomyMulti="true" ma:sspId="096c6374-8418-4054-9f71-fbda5dc607e9"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BillingMetadata" ma:index="1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246ef36-c2d4-4d13-b65d-5eab57a69625"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ec80698c-2fb0-4fbe-b59b-fe3887ffce6f}" ma:internalName="TaxCatchAll" ma:showField="CatchAllData" ma:web="9246ef36-c2d4-4d13-b65d-5eab57a69625">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313664A-3141-4D00-B880-4985B375BEE0}">
  <ds:schemaRefs>
    <ds:schemaRef ds:uri="http://schemas.microsoft.com/office/2006/metadata/properties"/>
    <ds:schemaRef ds:uri="http://schemas.microsoft.com/office/infopath/2007/PartnerControls"/>
    <ds:schemaRef ds:uri="9246ef36-c2d4-4d13-b65d-5eab57a69625"/>
    <ds:schemaRef ds:uri="6065fdbb-ad9f-4211-ad38-6ee6bc6d0898"/>
  </ds:schemaRefs>
</ds:datastoreItem>
</file>

<file path=customXml/itemProps2.xml><?xml version="1.0" encoding="utf-8"?>
<ds:datastoreItem xmlns:ds="http://schemas.openxmlformats.org/officeDocument/2006/customXml" ds:itemID="{EFD1B2B3-3D70-4CD8-BAC8-CBF6D921CE82}">
  <ds:schemaRefs>
    <ds:schemaRef ds:uri="http://schemas.microsoft.com/sharepoint/v3/contenttype/forms"/>
  </ds:schemaRefs>
</ds:datastoreItem>
</file>

<file path=customXml/itemProps3.xml><?xml version="1.0" encoding="utf-8"?>
<ds:datastoreItem xmlns:ds="http://schemas.openxmlformats.org/officeDocument/2006/customXml" ds:itemID="{8D5FD534-06D4-4C0A-A72B-122654A5DC4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065fdbb-ad9f-4211-ad38-6ee6bc6d0898"/>
    <ds:schemaRef ds:uri="9246ef36-c2d4-4d13-b65d-5eab57a6962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Planilhas</vt:lpstr>
      </vt:variant>
      <vt:variant>
        <vt:i4>5</vt:i4>
      </vt:variant>
    </vt:vector>
  </HeadingPairs>
  <TitlesOfParts>
    <vt:vector size="5" baseType="lpstr">
      <vt:lpstr>Pilares</vt:lpstr>
      <vt:lpstr>Iniciativas 2026</vt:lpstr>
      <vt:lpstr>Painel - Cockpit</vt:lpstr>
      <vt:lpstr>Monitoramento</vt:lpstr>
      <vt:lpstr>Apoio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Portfólio MatconCasa</dc:title>
  <dc:subject/>
  <dc:creator>Wanderley Cillo Jr.</dc:creator>
  <cp:keywords>Portfólio</cp:keywords>
  <dc:description>Gestão do Workload de Desenvolvimento de Sistema</dc:description>
  <cp:lastModifiedBy>Fabiano Miranda</cp:lastModifiedBy>
  <cp:revision/>
  <dcterms:created xsi:type="dcterms:W3CDTF">2012-05-05T14:38:01Z</dcterms:created>
  <dcterms:modified xsi:type="dcterms:W3CDTF">2025-12-07T14:48:33Z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0x010100A3D1A019F8905345A3E468E3229AE2E4</vt:lpwstr>
  </property>
  <property fmtid="{D5CDD505-2E9C-101B-9397-08002B2CF9AE}" pid="3" name="MediaServiceImageTags">
    <vt:lpwstr/>
  </property>
  <property fmtid="{D5CDD505-2E9C-101B-9397-08002B2CF9AE}" pid="4" name="MSIP_Label_6c75bd44-d848-48c3-9a6d-b84dedcfe44b_Enabled">
    <vt:lpwstr>true</vt:lpwstr>
  </property>
  <property fmtid="{D5CDD505-2E9C-101B-9397-08002B2CF9AE}" pid="5" name="MSIP_Label_6c75bd44-d848-48c3-9a6d-b84dedcfe44b_SetDate">
    <vt:lpwstr>2025-07-10T11:36:08Z</vt:lpwstr>
  </property>
  <property fmtid="{D5CDD505-2E9C-101B-9397-08002B2CF9AE}" pid="6" name="MSIP_Label_6c75bd44-d848-48c3-9a6d-b84dedcfe44b_Method">
    <vt:lpwstr>Privileged</vt:lpwstr>
  </property>
  <property fmtid="{D5CDD505-2E9C-101B-9397-08002B2CF9AE}" pid="7" name="MSIP_Label_6c75bd44-d848-48c3-9a6d-b84dedcfe44b_Name">
    <vt:lpwstr>Público</vt:lpwstr>
  </property>
  <property fmtid="{D5CDD505-2E9C-101B-9397-08002B2CF9AE}" pid="8" name="MSIP_Label_6c75bd44-d848-48c3-9a6d-b84dedcfe44b_SiteId">
    <vt:lpwstr>6a8be92d-525c-4849-8ce7-35f812b77a5d</vt:lpwstr>
  </property>
  <property fmtid="{D5CDD505-2E9C-101B-9397-08002B2CF9AE}" pid="9" name="MSIP_Label_6c75bd44-d848-48c3-9a6d-b84dedcfe44b_ActionId">
    <vt:lpwstr>a8d16f18-78fb-454a-a7a7-dfcbbf635b3f</vt:lpwstr>
  </property>
  <property fmtid="{D5CDD505-2E9C-101B-9397-08002B2CF9AE}" pid="10" name="MSIP_Label_6c75bd44-d848-48c3-9a6d-b84dedcfe44b_ContentBits">
    <vt:lpwstr>2</vt:lpwstr>
  </property>
  <property fmtid="{D5CDD505-2E9C-101B-9397-08002B2CF9AE}" pid="11" name="MSIP_Label_6c75bd44-d848-48c3-9a6d-b84dedcfe44b_Tag">
    <vt:lpwstr>10, 0, 1, 1</vt:lpwstr>
  </property>
</Properties>
</file>